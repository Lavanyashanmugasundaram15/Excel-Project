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excel\"/>
    </mc:Choice>
  </mc:AlternateContent>
  <bookViews>
    <workbookView xWindow="0" yWindow="0" windowWidth="20490" windowHeight="7755" firstSheet="1" activeTab="4"/>
  </bookViews>
  <sheets>
    <sheet name="DAILY WORKOUT LOG" sheetId="1" r:id="rId1"/>
    <sheet name="MEMBER ANALYSIS" sheetId="6" r:id="rId2"/>
    <sheet name="FITNESS GOAL PLANNER" sheetId="8" r:id="rId3"/>
    <sheet name="PIVOT TABLES" sheetId="7" r:id="rId4"/>
    <sheet name=" FITNESS DASHBOARD " sheetId="10" r:id="rId5"/>
  </sheets>
  <definedNames>
    <definedName name="Slicer_CALORIES_BURNT1">#N/A</definedName>
    <definedName name="Slicer_DAY1">#N/A</definedName>
    <definedName name="Slicer_SLEEP_hrs">#N/A</definedName>
    <definedName name="Slicer_STATUS">#N/A</definedName>
    <definedName name="Slicer_WORKOUT_TYPE">#N/A</definedName>
  </definedNames>
  <calcPr calcId="152511"/>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1" i="6" l="1"/>
  <c r="D51" i="6"/>
  <c r="E51" i="6"/>
  <c r="C51" i="6"/>
  <c r="B51" i="6"/>
  <c r="A51" i="6"/>
  <c r="E17" i="8" l="1"/>
  <c r="E18" i="8"/>
  <c r="E19" i="8"/>
  <c r="E20" i="8"/>
  <c r="E21" i="8"/>
  <c r="E16" i="8"/>
  <c r="I4" i="8"/>
  <c r="I8" i="8" s="1"/>
  <c r="B8" i="8"/>
  <c r="B7" i="8"/>
  <c r="B6" i="8"/>
  <c r="B5" i="8"/>
  <c r="B4" i="8"/>
  <c r="J27" i="7"/>
  <c r="J25" i="7"/>
  <c r="J24" i="7"/>
  <c r="J23" i="7"/>
  <c r="J22" i="7"/>
  <c r="E23" i="8" l="1"/>
  <c r="E26" i="8"/>
  <c r="E25" i="8"/>
  <c r="E22" i="8"/>
  <c r="E24" i="8"/>
  <c r="E27" i="8"/>
  <c r="C20" i="6"/>
  <c r="C12" i="6"/>
  <c r="C7" i="6"/>
  <c r="I3" i="1" l="1"/>
  <c r="C57" i="1" l="1"/>
  <c r="I57" i="1"/>
  <c r="N57" i="1"/>
  <c r="O57" i="1" s="1"/>
  <c r="P57" i="1"/>
  <c r="C8" i="1"/>
  <c r="I8" i="1"/>
  <c r="N8" i="1"/>
  <c r="O8" i="1" s="1"/>
  <c r="P8" i="1"/>
  <c r="C34" i="1"/>
  <c r="I34" i="1"/>
  <c r="N34" i="1"/>
  <c r="O34" i="1" s="1"/>
  <c r="P34" i="1"/>
  <c r="C61" i="1"/>
  <c r="I61" i="1"/>
  <c r="N61" i="1"/>
  <c r="O61" i="1" s="1"/>
  <c r="P61" i="1"/>
  <c r="C40" i="1"/>
  <c r="I40" i="1"/>
  <c r="N40" i="1"/>
  <c r="O40" i="1" s="1"/>
  <c r="P40" i="1"/>
  <c r="C16" i="1"/>
  <c r="I16" i="1"/>
  <c r="N16" i="1"/>
  <c r="O16" i="1" s="1"/>
  <c r="P16" i="1"/>
  <c r="C43" i="1"/>
  <c r="I43" i="1"/>
  <c r="N43" i="1"/>
  <c r="O43" i="1" s="1"/>
  <c r="P43" i="1"/>
  <c r="I4" i="1"/>
  <c r="C3" i="6" s="1"/>
  <c r="I5" i="1"/>
  <c r="I6" i="1"/>
  <c r="I7" i="1"/>
  <c r="I9" i="1"/>
  <c r="I10" i="1"/>
  <c r="I11" i="1"/>
  <c r="I12" i="1"/>
  <c r="I13" i="1"/>
  <c r="I14" i="1"/>
  <c r="I15" i="1"/>
  <c r="I17" i="1"/>
  <c r="I18" i="1"/>
  <c r="I19" i="1"/>
  <c r="I21" i="1"/>
  <c r="I22" i="1"/>
  <c r="I23" i="1"/>
  <c r="I24" i="1"/>
  <c r="I25" i="1"/>
  <c r="I26" i="1"/>
  <c r="I27" i="1"/>
  <c r="I28" i="1"/>
  <c r="I29" i="1"/>
  <c r="I30" i="1"/>
  <c r="I31" i="1"/>
  <c r="I32" i="1"/>
  <c r="I33" i="1"/>
  <c r="I35" i="1"/>
  <c r="I36" i="1"/>
  <c r="I37" i="1"/>
  <c r="I38" i="1"/>
  <c r="I39" i="1"/>
  <c r="I41" i="1"/>
  <c r="I42" i="1"/>
  <c r="I20" i="1"/>
  <c r="I44" i="1"/>
  <c r="I45" i="1"/>
  <c r="I46" i="1"/>
  <c r="I47" i="1"/>
  <c r="I48" i="1"/>
  <c r="I49" i="1"/>
  <c r="I50" i="1"/>
  <c r="I51" i="1"/>
  <c r="I52" i="1"/>
  <c r="I53" i="1"/>
  <c r="I54" i="1"/>
  <c r="I55" i="1"/>
  <c r="I56" i="1"/>
  <c r="I58" i="1"/>
  <c r="I59" i="1"/>
  <c r="I60" i="1"/>
  <c r="N9" i="1"/>
  <c r="P4" i="1" l="1"/>
  <c r="P5" i="1"/>
  <c r="P6" i="1"/>
  <c r="P7" i="1"/>
  <c r="P9" i="1"/>
  <c r="P10" i="1"/>
  <c r="P11" i="1"/>
  <c r="P12" i="1"/>
  <c r="P13" i="1"/>
  <c r="P14" i="1"/>
  <c r="P15" i="1"/>
  <c r="P17" i="1"/>
  <c r="P18" i="1"/>
  <c r="P19" i="1"/>
  <c r="P21" i="1"/>
  <c r="P22" i="1"/>
  <c r="P23" i="1"/>
  <c r="P24" i="1"/>
  <c r="P25" i="1"/>
  <c r="P26" i="1"/>
  <c r="P27" i="1"/>
  <c r="P28" i="1"/>
  <c r="P29" i="1"/>
  <c r="P30" i="1"/>
  <c r="P31" i="1"/>
  <c r="P32" i="1"/>
  <c r="P33" i="1"/>
  <c r="P35" i="1"/>
  <c r="P36" i="1"/>
  <c r="P37" i="1"/>
  <c r="P38" i="1"/>
  <c r="P39" i="1"/>
  <c r="P41" i="1"/>
  <c r="P42" i="1"/>
  <c r="P20" i="1"/>
  <c r="P44" i="1"/>
  <c r="P45" i="1"/>
  <c r="P46" i="1"/>
  <c r="P47" i="1"/>
  <c r="P48" i="1"/>
  <c r="P49" i="1"/>
  <c r="P50" i="1"/>
  <c r="P51" i="1"/>
  <c r="P52" i="1"/>
  <c r="P53" i="1"/>
  <c r="P54" i="1"/>
  <c r="P55" i="1"/>
  <c r="P56" i="1"/>
  <c r="P58" i="1"/>
  <c r="P59" i="1"/>
  <c r="P60" i="1"/>
  <c r="P3" i="1"/>
  <c r="O9" i="1" l="1"/>
  <c r="N4" i="1"/>
  <c r="O4" i="1" s="1"/>
  <c r="N5" i="1"/>
  <c r="O5" i="1" s="1"/>
  <c r="N6" i="1"/>
  <c r="O6" i="1" s="1"/>
  <c r="N7" i="1"/>
  <c r="O7" i="1" s="1"/>
  <c r="N10" i="1"/>
  <c r="O10" i="1" s="1"/>
  <c r="N11" i="1"/>
  <c r="O11" i="1" s="1"/>
  <c r="N12" i="1"/>
  <c r="O12" i="1" s="1"/>
  <c r="N13" i="1"/>
  <c r="O13" i="1" s="1"/>
  <c r="N14" i="1"/>
  <c r="O14" i="1" s="1"/>
  <c r="N15" i="1"/>
  <c r="O15" i="1" s="1"/>
  <c r="N17" i="1"/>
  <c r="O17" i="1" s="1"/>
  <c r="N18" i="1"/>
  <c r="O18" i="1" s="1"/>
  <c r="N19" i="1"/>
  <c r="O19" i="1" s="1"/>
  <c r="N21" i="1"/>
  <c r="O21" i="1" s="1"/>
  <c r="N22" i="1"/>
  <c r="O22" i="1" s="1"/>
  <c r="N23" i="1"/>
  <c r="O23" i="1" s="1"/>
  <c r="N24" i="1"/>
  <c r="O24" i="1" s="1"/>
  <c r="N25" i="1"/>
  <c r="O25" i="1" s="1"/>
  <c r="N26" i="1"/>
  <c r="O26" i="1" s="1"/>
  <c r="C16" i="6" s="1"/>
  <c r="N27" i="1"/>
  <c r="O27" i="1" s="1"/>
  <c r="N28" i="1"/>
  <c r="O28" i="1" s="1"/>
  <c r="N29" i="1"/>
  <c r="O29" i="1" s="1"/>
  <c r="N30" i="1"/>
  <c r="O30" i="1" s="1"/>
  <c r="N31" i="1"/>
  <c r="O31" i="1" s="1"/>
  <c r="N32" i="1"/>
  <c r="O32" i="1" s="1"/>
  <c r="N33" i="1"/>
  <c r="O33" i="1" s="1"/>
  <c r="N35" i="1"/>
  <c r="O35" i="1" s="1"/>
  <c r="N36" i="1"/>
  <c r="O36" i="1" s="1"/>
  <c r="N37" i="1"/>
  <c r="O37" i="1" s="1"/>
  <c r="N38" i="1"/>
  <c r="O38" i="1" s="1"/>
  <c r="N39" i="1"/>
  <c r="O39" i="1" s="1"/>
  <c r="N41" i="1"/>
  <c r="O41" i="1" s="1"/>
  <c r="N42" i="1"/>
  <c r="O42" i="1" s="1"/>
  <c r="N20" i="1"/>
  <c r="O20"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N58" i="1"/>
  <c r="O58" i="1" s="1"/>
  <c r="N59" i="1"/>
  <c r="O59" i="1" s="1"/>
  <c r="N60" i="1"/>
  <c r="O60" i="1" s="1"/>
  <c r="N3" i="1"/>
  <c r="O3" i="1" s="1"/>
  <c r="O56" i="1" l="1"/>
  <c r="J26" i="7"/>
  <c r="C4" i="1"/>
  <c r="C5" i="1"/>
  <c r="C6" i="1"/>
  <c r="C7" i="1"/>
  <c r="C9" i="1"/>
  <c r="C10" i="1"/>
  <c r="C11" i="1"/>
  <c r="C12" i="1"/>
  <c r="C13" i="1"/>
  <c r="C14" i="1"/>
  <c r="C15" i="1"/>
  <c r="C17" i="1"/>
  <c r="C18" i="1"/>
  <c r="C19" i="1"/>
  <c r="C21" i="1"/>
  <c r="C22" i="1"/>
  <c r="C23" i="1"/>
  <c r="C24" i="1"/>
  <c r="C25" i="1"/>
  <c r="C26" i="1"/>
  <c r="C27" i="1"/>
  <c r="C28" i="1"/>
  <c r="C29" i="1"/>
  <c r="C30" i="1"/>
  <c r="C31" i="1"/>
  <c r="C32" i="1"/>
  <c r="C33" i="1"/>
  <c r="C35" i="1"/>
  <c r="C36" i="1"/>
  <c r="C37" i="1"/>
  <c r="C38" i="1"/>
  <c r="C39" i="1"/>
  <c r="C41" i="1"/>
  <c r="C42" i="1"/>
  <c r="C20" i="1"/>
  <c r="C44" i="1"/>
  <c r="C45" i="1"/>
  <c r="C46" i="1"/>
  <c r="C47" i="1"/>
  <c r="C48" i="1"/>
  <c r="C49" i="1"/>
  <c r="C50" i="1"/>
  <c r="C51" i="1"/>
  <c r="C52" i="1"/>
  <c r="C53" i="1"/>
  <c r="C54" i="1"/>
  <c r="C55" i="1"/>
  <c r="C56" i="1"/>
  <c r="C58" i="1"/>
  <c r="C59" i="1"/>
  <c r="C60" i="1"/>
  <c r="C3" i="1"/>
</calcChain>
</file>

<file path=xl/sharedStrings.xml><?xml version="1.0" encoding="utf-8"?>
<sst xmlns="http://schemas.openxmlformats.org/spreadsheetml/2006/main" count="356" uniqueCount="157">
  <si>
    <t>DATE</t>
  </si>
  <si>
    <t>DAY</t>
  </si>
  <si>
    <t>FITNESS TRACKER</t>
  </si>
  <si>
    <t>NAME</t>
  </si>
  <si>
    <t>STEPS</t>
  </si>
  <si>
    <t>WORKOUT TYPE</t>
  </si>
  <si>
    <t>WEIGHT(Kg)</t>
  </si>
  <si>
    <t>STATUS</t>
  </si>
  <si>
    <t>MOOD</t>
  </si>
  <si>
    <t>BMI</t>
  </si>
  <si>
    <t>DURATION</t>
  </si>
  <si>
    <t>SLEEP(hrs)</t>
  </si>
  <si>
    <t>AARAV</t>
  </si>
  <si>
    <t>AADHI</t>
  </si>
  <si>
    <t>PRABHA</t>
  </si>
  <si>
    <t>KARTHICK</t>
  </si>
  <si>
    <t>ARCHANA</t>
  </si>
  <si>
    <t>LAVANYA</t>
  </si>
  <si>
    <t>KABIR</t>
  </si>
  <si>
    <t>KARAN</t>
  </si>
  <si>
    <t>DEV</t>
  </si>
  <si>
    <t>RIYA</t>
  </si>
  <si>
    <t>MEERA</t>
  </si>
  <si>
    <t>ROHAN</t>
  </si>
  <si>
    <t>PREETHI</t>
  </si>
  <si>
    <t>ISHIKA</t>
  </si>
  <si>
    <t>ANANYA</t>
  </si>
  <si>
    <t>TANYA</t>
  </si>
  <si>
    <t>YASH</t>
  </si>
  <si>
    <t>NISHA</t>
  </si>
  <si>
    <t>AMAN</t>
  </si>
  <si>
    <t>ARYAN</t>
  </si>
  <si>
    <t>SIDDHARTH</t>
  </si>
  <si>
    <t>HARSH</t>
  </si>
  <si>
    <t>DHIVA</t>
  </si>
  <si>
    <t>SIVA</t>
  </si>
  <si>
    <t>MANAV</t>
  </si>
  <si>
    <t>POOJA</t>
  </si>
  <si>
    <t>RAJ</t>
  </si>
  <si>
    <t>VEER</t>
  </si>
  <si>
    <t>SRIRAM</t>
  </si>
  <si>
    <t>PURSHOTH</t>
  </si>
  <si>
    <t>KOMATHI</t>
  </si>
  <si>
    <t>AISHU</t>
  </si>
  <si>
    <t>KEERTHI</t>
  </si>
  <si>
    <t>YASHNA</t>
  </si>
  <si>
    <t>PRAKASH</t>
  </si>
  <si>
    <t>TIPPU</t>
  </si>
  <si>
    <t>WILSON</t>
  </si>
  <si>
    <t>MIKE</t>
  </si>
  <si>
    <t>DUSTIN</t>
  </si>
  <si>
    <t>LUCAS</t>
  </si>
  <si>
    <t>STEEVE</t>
  </si>
  <si>
    <t>NANCY</t>
  </si>
  <si>
    <t>BANU</t>
  </si>
  <si>
    <t>BHUVANA</t>
  </si>
  <si>
    <t>SESHA</t>
  </si>
  <si>
    <t>SANJAY</t>
  </si>
  <si>
    <t>MANO</t>
  </si>
  <si>
    <t>SURYA</t>
  </si>
  <si>
    <t>VICKY</t>
  </si>
  <si>
    <t>CHARU</t>
  </si>
  <si>
    <t>NARESH</t>
  </si>
  <si>
    <t>NITHIYA</t>
  </si>
  <si>
    <t>HAPPY</t>
  </si>
  <si>
    <t>ENERGETIC</t>
  </si>
  <si>
    <t>TIRED</t>
  </si>
  <si>
    <t>LAZY</t>
  </si>
  <si>
    <t>RUNNING</t>
  </si>
  <si>
    <t>WALKING</t>
  </si>
  <si>
    <t>YOGA</t>
  </si>
  <si>
    <t>CYCLING</t>
  </si>
  <si>
    <t>TREAD MILL</t>
  </si>
  <si>
    <t>GYM</t>
  </si>
  <si>
    <t>WEIGHT LIFTING</t>
  </si>
  <si>
    <t>SQUADS</t>
  </si>
  <si>
    <t>STRETCHING</t>
  </si>
  <si>
    <t>PUSHUPS</t>
  </si>
  <si>
    <t>WATER(L)</t>
  </si>
  <si>
    <t xml:space="preserve">CALORIES BURNT </t>
  </si>
  <si>
    <t>HEIGHT(Cm)</t>
  </si>
  <si>
    <t>CATEGORY</t>
  </si>
  <si>
    <t>DURAI</t>
  </si>
  <si>
    <t>PRATHIKSHA</t>
  </si>
  <si>
    <t>YUVI</t>
  </si>
  <si>
    <t>NILA</t>
  </si>
  <si>
    <t>ANU</t>
  </si>
  <si>
    <t>VIJAY</t>
  </si>
  <si>
    <t>CALORIES BURNT/MIN</t>
  </si>
  <si>
    <t xml:space="preserve">TREAD MILL  </t>
  </si>
  <si>
    <t>WHO BURNT MOST CALORIES</t>
  </si>
  <si>
    <t>HOW MANY STEPS ARCHANA WALKED</t>
  </si>
  <si>
    <t>FIND THE BMI CATEFORY OF LAVANYA</t>
  </si>
  <si>
    <t>TOP 3 CALORIES BURNER</t>
  </si>
  <si>
    <t>Grand Total</t>
  </si>
  <si>
    <t>WHO DRANK LESS THAN 2 LITRES WATER</t>
  </si>
  <si>
    <t>NAMES</t>
  </si>
  <si>
    <t>COMPARISON OF CALORIES BURNED VS STEPS FOR TOP 3 RANK</t>
  </si>
  <si>
    <t>WHO WORKED MORE THAN 70 HRS</t>
  </si>
  <si>
    <t>JILLU</t>
  </si>
  <si>
    <t>SPARK LINES</t>
  </si>
  <si>
    <t xml:space="preserve"> STEPS</t>
  </si>
  <si>
    <t>WORKOUT DURATION</t>
  </si>
  <si>
    <t xml:space="preserve"> WATER(L)</t>
  </si>
  <si>
    <t xml:space="preserve">  CALORIES BURNT </t>
  </si>
  <si>
    <t xml:space="preserve"> DURATION</t>
  </si>
  <si>
    <t>Monday</t>
  </si>
  <si>
    <t>Wednesday</t>
  </si>
  <si>
    <t>Thursday</t>
  </si>
  <si>
    <t>Friday</t>
  </si>
  <si>
    <t>Saturday</t>
  </si>
  <si>
    <t>Sunday</t>
  </si>
  <si>
    <t>ACTIVE</t>
  </si>
  <si>
    <t>IN ACTIVE</t>
  </si>
  <si>
    <t>Average of SLEEP(hrs)</t>
  </si>
  <si>
    <t>TOTAL STEPS</t>
  </si>
  <si>
    <t>TOTAL STEPS BY DAY</t>
  </si>
  <si>
    <t>AVERAGE SLEEP BY STATUS</t>
  </si>
  <si>
    <t>A</t>
  </si>
  <si>
    <t>B</t>
  </si>
  <si>
    <t>Total Steps</t>
  </si>
  <si>
    <t>Average Sleep</t>
  </si>
  <si>
    <t>Total Calories</t>
  </si>
  <si>
    <t>Active Users</t>
  </si>
  <si>
    <t>Average BMI</t>
  </si>
  <si>
    <t>Workout Duration</t>
  </si>
  <si>
    <t>👣</t>
  </si>
  <si>
    <t>😴</t>
  </si>
  <si>
    <t>🔥</t>
  </si>
  <si>
    <t>👤</t>
  </si>
  <si>
    <t>⚖️</t>
  </si>
  <si>
    <t>⏱️</t>
  </si>
  <si>
    <t>KPI LAYOUT</t>
  </si>
  <si>
    <r>
      <rPr>
        <sz val="11"/>
        <color theme="1" tint="0.34998626667073579"/>
        <rFont val="Calibri"/>
        <family val="2"/>
        <scheme val="minor"/>
      </rPr>
      <t xml:space="preserve">👤 </t>
    </r>
    <r>
      <rPr>
        <sz val="11"/>
        <color theme="1"/>
        <rFont val="Calibri"/>
        <family val="2"/>
        <scheme val="minor"/>
      </rPr>
      <t>MEMBER NAME</t>
    </r>
  </si>
  <si>
    <r>
      <rPr>
        <sz val="11"/>
        <color theme="7"/>
        <rFont val="Calibri"/>
        <family val="2"/>
        <scheme val="minor"/>
      </rPr>
      <t>📏</t>
    </r>
    <r>
      <rPr>
        <sz val="11"/>
        <color theme="1"/>
        <rFont val="Calibri"/>
        <family val="2"/>
        <scheme val="minor"/>
      </rPr>
      <t xml:space="preserve"> CURRENT WEIGHT</t>
    </r>
  </si>
  <si>
    <r>
      <rPr>
        <sz val="11"/>
        <color theme="5"/>
        <rFont val="Calibri"/>
        <family val="2"/>
        <scheme val="minor"/>
      </rPr>
      <t>🔥</t>
    </r>
    <r>
      <rPr>
        <sz val="11"/>
        <color theme="1"/>
        <rFont val="Calibri"/>
        <family val="2"/>
        <scheme val="minor"/>
      </rPr>
      <t xml:space="preserve"> CALORIES BURNED</t>
    </r>
  </si>
  <si>
    <r>
      <rPr>
        <sz val="11"/>
        <color theme="4" tint="0.59999389629810485"/>
        <rFont val="Calibri"/>
        <family val="2"/>
        <scheme val="minor"/>
      </rPr>
      <t>💧</t>
    </r>
    <r>
      <rPr>
        <sz val="11"/>
        <color theme="1"/>
        <rFont val="Calibri"/>
        <family val="2"/>
        <scheme val="minor"/>
      </rPr>
      <t xml:space="preserve"> WATER INTAKE</t>
    </r>
  </si>
  <si>
    <r>
      <rPr>
        <sz val="11"/>
        <color theme="8"/>
        <rFont val="Calibri"/>
        <family val="2"/>
        <scheme val="minor"/>
      </rPr>
      <t>⚖️</t>
    </r>
    <r>
      <rPr>
        <sz val="11"/>
        <color theme="1"/>
        <rFont val="Calibri"/>
        <family val="2"/>
        <scheme val="minor"/>
      </rPr>
      <t>BMI</t>
    </r>
  </si>
  <si>
    <r>
      <rPr>
        <sz val="11"/>
        <color rgb="FFFF0000"/>
        <rFont val="Calibri"/>
        <family val="2"/>
        <scheme val="minor"/>
      </rPr>
      <t>🟢</t>
    </r>
    <r>
      <rPr>
        <sz val="11"/>
        <color theme="1"/>
        <rFont val="Calibri"/>
        <family val="2"/>
        <scheme val="minor"/>
      </rPr>
      <t xml:space="preserve"> STATUS</t>
    </r>
  </si>
  <si>
    <t>GOAL SEEK SECTION [WEIGHT LOSS PLAN]</t>
  </si>
  <si>
    <t>MEMBER INFO</t>
  </si>
  <si>
    <t>1kg = Calories</t>
  </si>
  <si>
    <r>
      <rPr>
        <sz val="11"/>
        <color rgb="FFFF0000"/>
        <rFont val="Calibri"/>
        <family val="2"/>
        <scheme val="minor"/>
      </rPr>
      <t>🎯</t>
    </r>
    <r>
      <rPr>
        <sz val="11"/>
        <color theme="1"/>
        <rFont val="Calibri"/>
        <family val="2"/>
        <scheme val="minor"/>
      </rPr>
      <t xml:space="preserve"> Target Weight</t>
    </r>
  </si>
  <si>
    <r>
      <rPr>
        <sz val="11"/>
        <color rgb="FFFFC000"/>
        <rFont val="Calibri"/>
        <family val="2"/>
        <scheme val="minor"/>
      </rPr>
      <t>🔥</t>
    </r>
    <r>
      <rPr>
        <sz val="11"/>
        <color theme="1"/>
        <rFont val="Calibri"/>
        <family val="2"/>
        <scheme val="minor"/>
      </rPr>
      <t xml:space="preserve"> Calories Burned</t>
    </r>
  </si>
  <si>
    <r>
      <rPr>
        <sz val="11"/>
        <color theme="3"/>
        <rFont val="Calibri"/>
        <family val="2"/>
        <scheme val="minor"/>
      </rPr>
      <t>🧮</t>
    </r>
    <r>
      <rPr>
        <sz val="11"/>
        <color theme="1"/>
        <rFont val="Calibri"/>
        <family val="2"/>
        <scheme val="minor"/>
      </rPr>
      <t xml:space="preserve"> Expected Weight</t>
    </r>
  </si>
  <si>
    <t>FORECASTING</t>
  </si>
  <si>
    <t xml:space="preserve"> 👤 Active Users</t>
  </si>
  <si>
    <t xml:space="preserve"> ⏱️ Workout Duration</t>
  </si>
  <si>
    <r>
      <rPr>
        <b/>
        <sz val="11"/>
        <color rgb="FFFF0000"/>
        <rFont val="Calibri"/>
        <family val="2"/>
        <scheme val="minor"/>
      </rPr>
      <t>👣</t>
    </r>
    <r>
      <rPr>
        <b/>
        <sz val="11"/>
        <color theme="1"/>
        <rFont val="Calibri"/>
        <family val="2"/>
        <scheme val="minor"/>
      </rPr>
      <t xml:space="preserve"> Total Steps</t>
    </r>
  </si>
  <si>
    <r>
      <rPr>
        <b/>
        <sz val="11"/>
        <color theme="5" tint="-0.249977111117893"/>
        <rFont val="Calibri"/>
        <family val="2"/>
        <scheme val="minor"/>
      </rPr>
      <t xml:space="preserve"> 🔥</t>
    </r>
    <r>
      <rPr>
        <b/>
        <sz val="11"/>
        <color theme="1"/>
        <rFont val="Calibri"/>
        <family val="2"/>
        <scheme val="minor"/>
      </rPr>
      <t xml:space="preserve"> Total Calories</t>
    </r>
  </si>
  <si>
    <r>
      <rPr>
        <b/>
        <sz val="11"/>
        <color theme="7" tint="0.39997558519241921"/>
        <rFont val="Calibri"/>
        <family val="2"/>
        <scheme val="minor"/>
      </rPr>
      <t>😴</t>
    </r>
    <r>
      <rPr>
        <b/>
        <sz val="11"/>
        <color theme="1"/>
        <rFont val="Calibri"/>
        <family val="2"/>
        <scheme val="minor"/>
      </rPr>
      <t xml:space="preserve"> Avg Sleep (hrs)</t>
    </r>
  </si>
  <si>
    <r>
      <rPr>
        <b/>
        <sz val="11"/>
        <color rgb="FF0070C0"/>
        <rFont val="Calibri"/>
        <family val="2"/>
        <scheme val="minor"/>
      </rPr>
      <t>⚖️</t>
    </r>
    <r>
      <rPr>
        <b/>
        <sz val="11"/>
        <color theme="1"/>
        <rFont val="Calibri"/>
        <family val="2"/>
        <scheme val="minor"/>
      </rPr>
      <t xml:space="preserve"> Avg BMI</t>
    </r>
  </si>
  <si>
    <t xml:space="preserve">Sum of CALORIES BURNT </t>
  </si>
  <si>
    <t>Sum of DURATION</t>
  </si>
  <si>
    <t>DAYS</t>
  </si>
  <si>
    <t>CALORIES BURNT BY DAYS</t>
  </si>
  <si>
    <t>SUM OF DURATION BY WORKOUT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</si>
</sst>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7" x14ac:knownFonts="1">
    <font>
      <sz val="11"/>
      <color theme="1"/>
      <name val="Calibri"/>
      <family val="2"/>
      <scheme val="minor"/>
    </font>
    <font>
      <sz val="16"/>
      <color theme="1"/>
      <name val="Algerian"/>
      <family val="5"/>
    </font>
    <font>
      <sz val="8"/>
      <color theme="1"/>
      <name val="Calibri"/>
      <family val="2"/>
      <scheme val="minor"/>
    </font>
    <font>
      <b/>
      <sz val="11"/>
      <color theme="0"/>
      <name val="Calibri"/>
      <family val="2"/>
      <scheme val="minor"/>
    </font>
    <font>
      <b/>
      <sz val="11"/>
      <color theme="1"/>
      <name val="Calibri"/>
      <family val="2"/>
      <scheme val="minor"/>
    </font>
    <font>
      <b/>
      <sz val="11"/>
      <color theme="9"/>
      <name val="Calibri"/>
      <family val="2"/>
      <scheme val="minor"/>
    </font>
    <font>
      <b/>
      <sz val="11"/>
      <color theme="1" tint="0.249977111117893"/>
      <name val="Calibri"/>
      <family val="2"/>
      <scheme val="minor"/>
    </font>
    <font>
      <b/>
      <sz val="11"/>
      <color theme="1" tint="4.9989318521683403E-2"/>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theme="1" tint="4.9989318521683403E-2"/>
      <name val="Calibri"/>
      <family val="2"/>
      <scheme val="minor"/>
    </font>
    <font>
      <sz val="10"/>
      <color theme="1"/>
      <name val="Arial Unicode MS"/>
      <family val="2"/>
    </font>
    <font>
      <sz val="11"/>
      <color theme="4" tint="0.59999389629810485"/>
      <name val="Calibri"/>
      <family val="2"/>
      <scheme val="minor"/>
    </font>
    <font>
      <sz val="11"/>
      <color theme="7"/>
      <name val="Calibri"/>
      <family val="2"/>
      <scheme val="minor"/>
    </font>
    <font>
      <sz val="11"/>
      <color theme="8"/>
      <name val="Calibri"/>
      <family val="2"/>
      <scheme val="minor"/>
    </font>
    <font>
      <sz val="11"/>
      <color theme="1" tint="0.34998626667073579"/>
      <name val="Calibri"/>
      <family val="2"/>
      <scheme val="minor"/>
    </font>
    <font>
      <sz val="11"/>
      <color theme="5"/>
      <name val="Calibri"/>
      <family val="2"/>
      <scheme val="minor"/>
    </font>
    <font>
      <sz val="11"/>
      <color theme="4"/>
      <name val="Calibri"/>
      <family val="2"/>
      <scheme val="minor"/>
    </font>
    <font>
      <sz val="11"/>
      <color theme="3"/>
      <name val="Calibri"/>
      <family val="2"/>
      <scheme val="minor"/>
    </font>
    <font>
      <sz val="11"/>
      <color rgb="FFFFC000"/>
      <name val="Calibri"/>
      <family val="2"/>
      <scheme val="minor"/>
    </font>
    <font>
      <sz val="11"/>
      <color theme="7" tint="-0.499984740745262"/>
      <name val="Calibri"/>
      <family val="2"/>
      <scheme val="minor"/>
    </font>
    <font>
      <sz val="11"/>
      <color theme="9" tint="-0.499984740745262"/>
      <name val="Calibri"/>
      <family val="2"/>
      <scheme val="minor"/>
    </font>
    <font>
      <b/>
      <sz val="11"/>
      <color theme="5" tint="-0.249977111117893"/>
      <name val="Calibri"/>
      <family val="2"/>
      <scheme val="minor"/>
    </font>
    <font>
      <b/>
      <sz val="11"/>
      <color theme="7" tint="0.39997558519241921"/>
      <name val="Calibri"/>
      <family val="2"/>
      <scheme val="minor"/>
    </font>
    <font>
      <b/>
      <sz val="11"/>
      <color rgb="FF0070C0"/>
      <name val="Calibri"/>
      <family val="2"/>
      <scheme val="minor"/>
    </font>
  </fonts>
  <fills count="20">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rgb="FFFF33CC"/>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7030A0"/>
        <bgColor indexed="64"/>
      </patternFill>
    </fill>
    <fill>
      <patternFill patternType="solid">
        <fgColor theme="7" tint="-0.249977111117893"/>
        <bgColor indexed="64"/>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bgColor indexed="64"/>
      </patternFill>
    </fill>
    <fill>
      <patternFill patternType="solid">
        <fgColor theme="7"/>
        <bgColor indexed="64"/>
      </patternFill>
    </fill>
    <fill>
      <patternFill patternType="solid">
        <fgColor rgb="FF92D05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xf numFmtId="0" fontId="8" fillId="11" borderId="0" applyNumberFormat="0" applyBorder="0" applyAlignment="0" applyProtection="0"/>
    <xf numFmtId="0" fontId="8" fillId="12" borderId="0" applyNumberFormat="0" applyBorder="0" applyAlignment="0" applyProtection="0"/>
  </cellStyleXfs>
  <cellXfs count="75">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wrapText="1"/>
    </xf>
    <xf numFmtId="0" fontId="0" fillId="0" borderId="0" xfId="0" applyNumberFormat="1" applyAlignment="1">
      <alignment horizontal="center" vertical="center"/>
    </xf>
    <xf numFmtId="0" fontId="0" fillId="0" borderId="0" xfId="0" applyBorder="1" applyAlignment="1">
      <alignment horizontal="center" vertical="center"/>
    </xf>
    <xf numFmtId="0" fontId="0" fillId="0" borderId="0" xfId="0" applyAlignment="1">
      <alignment horizontal="center"/>
    </xf>
    <xf numFmtId="0" fontId="0" fillId="0" borderId="0" xfId="0" applyAlignment="1">
      <alignment horizontal="center"/>
    </xf>
    <xf numFmtId="0" fontId="0" fillId="0" borderId="0" xfId="0" applyAlignment="1"/>
    <xf numFmtId="0" fontId="0" fillId="0" borderId="0" xfId="0" applyFont="1"/>
    <xf numFmtId="0" fontId="0" fillId="0" borderId="1" xfId="0" applyNumberFormat="1" applyBorder="1"/>
    <xf numFmtId="0" fontId="5" fillId="0" borderId="2" xfId="0" applyFont="1" applyBorder="1" applyAlignment="1">
      <alignment horizontal="left"/>
    </xf>
    <xf numFmtId="0" fontId="5" fillId="0" borderId="3" xfId="0" applyNumberFormat="1" applyFont="1" applyBorder="1"/>
    <xf numFmtId="0" fontId="5" fillId="0" borderId="7" xfId="0" applyFont="1" applyBorder="1" applyAlignment="1">
      <alignment horizontal="left"/>
    </xf>
    <xf numFmtId="0" fontId="0" fillId="0" borderId="8" xfId="0" applyNumberFormat="1" applyBorder="1"/>
    <xf numFmtId="0" fontId="5" fillId="0" borderId="9" xfId="0" applyNumberFormat="1" applyFont="1" applyBorder="1"/>
    <xf numFmtId="0" fontId="7" fillId="8" borderId="6" xfId="0" applyFont="1" applyFill="1" applyBorder="1"/>
    <xf numFmtId="0" fontId="6" fillId="8" borderId="5" xfId="0" applyFont="1" applyFill="1" applyBorder="1"/>
    <xf numFmtId="0" fontId="6" fillId="8" borderId="4" xfId="0" applyFont="1" applyFill="1" applyBorder="1"/>
    <xf numFmtId="0" fontId="0" fillId="0" borderId="1" xfId="0" pivotButton="1" applyBorder="1" applyAlignment="1">
      <alignment horizontal="center"/>
    </xf>
    <xf numFmtId="0" fontId="0" fillId="0" borderId="1" xfId="0" applyBorder="1" applyAlignment="1">
      <alignment horizontal="center"/>
    </xf>
    <xf numFmtId="0" fontId="5" fillId="0" borderId="1" xfId="0" applyFont="1" applyBorder="1" applyAlignment="1">
      <alignment horizontal="center"/>
    </xf>
    <xf numFmtId="0" fontId="0" fillId="0" borderId="1" xfId="0" applyNumberFormat="1" applyBorder="1" applyAlignment="1">
      <alignment horizontal="center"/>
    </xf>
    <xf numFmtId="0" fontId="5" fillId="0" borderId="1" xfId="0" applyNumberFormat="1" applyFont="1" applyBorder="1" applyAlignment="1">
      <alignment horizontal="center"/>
    </xf>
    <xf numFmtId="0" fontId="0" fillId="0" borderId="1" xfId="0" applyNumberFormat="1" applyFont="1" applyBorder="1" applyAlignment="1">
      <alignment horizontal="center"/>
    </xf>
    <xf numFmtId="0" fontId="4" fillId="0" borderId="1" xfId="0" applyFont="1" applyBorder="1" applyAlignment="1">
      <alignment horizontal="center"/>
    </xf>
    <xf numFmtId="0" fontId="12" fillId="0" borderId="1" xfId="0" applyFont="1" applyBorder="1" applyAlignment="1">
      <alignment horizontal="center"/>
    </xf>
    <xf numFmtId="0" fontId="4" fillId="0" borderId="1" xfId="0" pivotButton="1" applyFont="1" applyBorder="1" applyAlignment="1">
      <alignment horizontal="center"/>
    </xf>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0" xfId="0" applyAlignment="1">
      <alignment vertical="center" wrapText="1"/>
    </xf>
    <xf numFmtId="0" fontId="13" fillId="0" borderId="0" xfId="0" applyFont="1" applyAlignment="1">
      <alignment vertical="center" wrapText="1"/>
    </xf>
    <xf numFmtId="0" fontId="0" fillId="0" borderId="1" xfId="0" applyBorder="1" applyAlignment="1">
      <alignment horizontal="center" vertical="center" wrapText="1"/>
    </xf>
    <xf numFmtId="0" fontId="4" fillId="11" borderId="1" xfId="1" applyFont="1" applyBorder="1" applyAlignment="1">
      <alignment horizontal="center"/>
    </xf>
    <xf numFmtId="0" fontId="8" fillId="12" borderId="1" xfId="2" applyBorder="1" applyAlignment="1">
      <alignment horizontal="center" vertical="center"/>
    </xf>
    <xf numFmtId="0" fontId="0" fillId="0" borderId="0" xfId="0" applyBorder="1"/>
    <xf numFmtId="0" fontId="8" fillId="12" borderId="7" xfId="2" applyBorder="1" applyAlignment="1">
      <alignment horizontal="center" vertical="center"/>
    </xf>
    <xf numFmtId="0" fontId="8" fillId="12" borderId="11" xfId="2" applyBorder="1" applyAlignment="1">
      <alignment horizontal="center" vertical="center"/>
    </xf>
    <xf numFmtId="0" fontId="8" fillId="12" borderId="4" xfId="2" applyBorder="1" applyAlignment="1">
      <alignment horizontal="center" vertical="center"/>
    </xf>
    <xf numFmtId="0" fontId="10" fillId="12" borderId="9" xfId="2" applyFont="1" applyBorder="1" applyAlignment="1">
      <alignment horizontal="right" vertical="center" wrapText="1"/>
    </xf>
    <xf numFmtId="0" fontId="22" fillId="12" borderId="10" xfId="2" applyFont="1" applyBorder="1" applyAlignment="1">
      <alignment horizontal="right" vertical="center" wrapText="1"/>
    </xf>
    <xf numFmtId="0" fontId="19" fillId="12" borderId="10" xfId="2" applyFont="1" applyBorder="1" applyAlignment="1">
      <alignment horizontal="right" vertical="center" wrapText="1"/>
    </xf>
    <xf numFmtId="0" fontId="18" fillId="12" borderId="10" xfId="2" applyFont="1" applyBorder="1" applyAlignment="1">
      <alignment horizontal="right" vertical="center" wrapText="1"/>
    </xf>
    <xf numFmtId="0" fontId="16" fillId="12" borderId="10" xfId="2" applyFont="1" applyBorder="1" applyAlignment="1">
      <alignment horizontal="right" vertical="center" wrapText="1"/>
    </xf>
    <xf numFmtId="0" fontId="23" fillId="12" borderId="6" xfId="2" applyFont="1" applyBorder="1" applyAlignment="1">
      <alignment horizontal="right" vertical="center" wrapText="1"/>
    </xf>
    <xf numFmtId="0" fontId="0" fillId="0" borderId="0" xfId="0" applyFont="1" applyAlignment="1">
      <alignment horizontal="center" vertical="center" wrapText="1"/>
    </xf>
    <xf numFmtId="14" fontId="0" fillId="0" borderId="0" xfId="0" applyNumberFormat="1"/>
    <xf numFmtId="0" fontId="4" fillId="17" borderId="0" xfId="0" applyFont="1" applyFill="1" applyAlignment="1">
      <alignment horizontal="center"/>
    </xf>
    <xf numFmtId="0" fontId="4" fillId="18" borderId="0" xfId="0" applyFont="1" applyFill="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2" borderId="0" xfId="0" applyFill="1"/>
    <xf numFmtId="0" fontId="1" fillId="2" borderId="0" xfId="0" applyFont="1" applyFill="1" applyAlignment="1">
      <alignment horizontal="center"/>
    </xf>
    <xf numFmtId="0" fontId="4" fillId="7" borderId="0" xfId="0" applyFont="1" applyFill="1" applyAlignment="1">
      <alignment horizontal="center"/>
    </xf>
    <xf numFmtId="0" fontId="4" fillId="4" borderId="0" xfId="0" applyFont="1" applyFill="1" applyAlignment="1">
      <alignment horizontal="center"/>
    </xf>
    <xf numFmtId="0" fontId="0" fillId="0" borderId="0" xfId="0"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0" fillId="10" borderId="0" xfId="0" applyFont="1" applyFill="1" applyAlignment="1">
      <alignment horizontal="center"/>
    </xf>
    <xf numFmtId="0" fontId="4" fillId="3" borderId="0" xfId="0" applyFont="1" applyFill="1" applyAlignment="1">
      <alignment horizontal="center"/>
    </xf>
    <xf numFmtId="0" fontId="0" fillId="0" borderId="0" xfId="0" applyFont="1" applyAlignment="1">
      <alignment horizontal="center"/>
    </xf>
    <xf numFmtId="0" fontId="3" fillId="9" borderId="0" xfId="0" applyFont="1" applyFill="1" applyAlignment="1">
      <alignment horizontal="center"/>
    </xf>
    <xf numFmtId="0" fontId="0" fillId="15" borderId="0" xfId="0" applyFill="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4" fillId="16"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13" borderId="0" xfId="0" applyFont="1" applyFill="1" applyAlignment="1">
      <alignment horizontal="center"/>
    </xf>
    <xf numFmtId="0" fontId="0" fillId="19" borderId="0" xfId="0" applyFill="1" applyAlignment="1">
      <alignment horizontal="center"/>
    </xf>
    <xf numFmtId="0" fontId="4" fillId="11" borderId="3" xfId="1" applyFont="1" applyBorder="1" applyAlignment="1">
      <alignment horizontal="center"/>
    </xf>
    <xf numFmtId="0" fontId="4" fillId="11" borderId="2" xfId="1" applyFont="1" applyBorder="1" applyAlignment="1">
      <alignment horizontal="center"/>
    </xf>
    <xf numFmtId="0" fontId="4" fillId="14" borderId="0" xfId="0" applyFont="1" applyFill="1" applyAlignment="1">
      <alignment horizontal="center"/>
    </xf>
  </cellXfs>
  <cellStyles count="3">
    <cellStyle name="40% - Accent1" xfId="1" builtinId="31"/>
    <cellStyle name="40% - Accent2" xfId="2" builtinId="35"/>
    <cellStyle name="Normal" xfId="0" builtinId="0"/>
  </cellStyles>
  <dxfs count="12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9"/>
      </font>
    </dxf>
    <dxf>
      <font>
        <b/>
      </font>
    </dxf>
    <dxf>
      <font>
        <color theme="9"/>
      </font>
    </dxf>
    <dxf>
      <font>
        <b/>
      </font>
    </dxf>
    <dxf>
      <font>
        <b val="0"/>
      </font>
    </dxf>
    <dxf>
      <font>
        <color theme="1"/>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b/>
        <i val="0"/>
        <strike val="0"/>
        <condense val="0"/>
        <extend val="0"/>
        <outline val="0"/>
        <shadow val="0"/>
        <u val="none"/>
        <vertAlign val="baseline"/>
        <sz val="11"/>
        <color theme="9"/>
        <name val="Calibri"/>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9"/>
        <name val="Calibri"/>
        <scheme val="minor"/>
      </font>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9"/>
        <name val="Calibri"/>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style="thin">
          <color indexed="64"/>
        </left>
        <right style="thin">
          <color indexed="64"/>
        </right>
        <top/>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color theme="1"/>
      </font>
    </dxf>
    <dxf>
      <font>
        <b val="0"/>
      </font>
    </dxf>
    <dxf>
      <font>
        <b/>
      </font>
    </dxf>
    <dxf>
      <font>
        <color theme="9"/>
      </font>
    </dxf>
    <dxf>
      <font>
        <b/>
      </font>
    </dxf>
    <dxf>
      <font>
        <color theme="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006100"/>
      </font>
      <fill>
        <patternFill>
          <bgColor rgb="FFC6EFCE"/>
        </patternFill>
      </fill>
    </dxf>
    <dxf>
      <fill>
        <patternFill>
          <bgColor theme="5" tint="0.39994506668294322"/>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mruColors>
      <color rgb="FFFF33CC"/>
      <color rgb="FF87497E"/>
      <color rgb="FF8E4285"/>
      <color rgb="FFF67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'MEMBER ANALYSIS'!$C$26</c:f>
              <c:strCache>
                <c:ptCount val="1"/>
                <c:pt idx="0">
                  <c:v>CALORIES BURNT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'MEMBER ANALYSIS'!$B$27:$B$29</c:f>
              <c:strCache>
                <c:ptCount val="3"/>
                <c:pt idx="0">
                  <c:v>KARTHICK</c:v>
                </c:pt>
                <c:pt idx="1">
                  <c:v>PRABHA</c:v>
                </c:pt>
                <c:pt idx="2">
                  <c:v>JILLU</c:v>
                </c:pt>
              </c:strCache>
            </c:strRef>
          </c:cat>
          <c:val>
            <c:numRef>
              <c:f>'MEMBER ANALYSIS'!$C$27:$C$29</c:f>
              <c:numCache>
                <c:formatCode>General</c:formatCode>
                <c:ptCount val="3"/>
                <c:pt idx="0">
                  <c:v>720</c:v>
                </c:pt>
                <c:pt idx="1">
                  <c:v>700</c:v>
                </c:pt>
                <c:pt idx="2">
                  <c:v>620</c:v>
                </c:pt>
              </c:numCache>
            </c:numRef>
          </c:val>
        </c:ser>
        <c:ser>
          <c:idx val="1"/>
          <c:order val="1"/>
          <c:tx>
            <c:strRef>
              <c:f>'MEMBER ANALYSIS'!$D$26</c:f>
              <c:strCache>
                <c:ptCount val="1"/>
                <c:pt idx="0">
                  <c:v>STEPS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'MEMBER ANALYSIS'!$B$27:$B$29</c:f>
              <c:strCache>
                <c:ptCount val="3"/>
                <c:pt idx="0">
                  <c:v>KARTHICK</c:v>
                </c:pt>
                <c:pt idx="1">
                  <c:v>PRABHA</c:v>
                </c:pt>
                <c:pt idx="2">
                  <c:v>JILLU</c:v>
                </c:pt>
              </c:strCache>
            </c:strRef>
          </c:cat>
          <c:val>
            <c:numRef>
              <c:f>'MEMBER ANALYSIS'!$D$27:$D$29</c:f>
              <c:numCache>
                <c:formatCode>General</c:formatCode>
                <c:ptCount val="3"/>
                <c:pt idx="0">
                  <c:v>12400</c:v>
                </c:pt>
                <c:pt idx="1">
                  <c:v>11900</c:v>
                </c:pt>
                <c:pt idx="2">
                  <c:v>12800</c:v>
                </c:pt>
              </c:numCache>
            </c:numRef>
          </c:val>
        </c:ser>
        <c:ser>
          <c:idx val="2"/>
          <c:order val="2"/>
          <c:tx>
            <c:strRef>
              <c:f>'MEMBER ANALYSIS'!$E$26</c:f>
              <c:strCache>
                <c:ptCount val="1"/>
                <c:pt idx="0">
                  <c:v> DURATION</c:v>
                </c:pt>
              </c:strCache>
            </c:strRef>
          </c:tx>
          <c:spPr>
            <a:solidFill>
              <a:schemeClr val="accent3"/>
            </a:solidFill>
            <a:ln>
              <a:noFill/>
            </a:ln>
            <a:effectLst/>
            <a:sp3d/>
          </c:spPr>
          <c:invertIfNegative val="0"/>
          <c:cat>
            <c:strRef>
              <c:f>'MEMBER ANALYSIS'!$B$27:$B$29</c:f>
              <c:strCache>
                <c:ptCount val="3"/>
                <c:pt idx="0">
                  <c:v>KARTHICK</c:v>
                </c:pt>
                <c:pt idx="1">
                  <c:v>PRABHA</c:v>
                </c:pt>
                <c:pt idx="2">
                  <c:v>JILLU</c:v>
                </c:pt>
              </c:strCache>
            </c:strRef>
          </c:cat>
          <c:val>
            <c:numRef>
              <c:f>'MEMBER ANALYSIS'!$E$27:$E$29</c:f>
              <c:numCache>
                <c:formatCode>General</c:formatCode>
                <c:ptCount val="3"/>
                <c:pt idx="0">
                  <c:v>72</c:v>
                </c:pt>
                <c:pt idx="1">
                  <c:v>70</c:v>
                </c:pt>
                <c:pt idx="2">
                  <c:v>85</c:v>
                </c:pt>
              </c:numCache>
            </c:numRef>
          </c:val>
        </c:ser>
        <c:dLbls>
          <c:showLegendKey val="0"/>
          <c:showVal val="0"/>
          <c:showCatName val="0"/>
          <c:showSerName val="0"/>
          <c:showPercent val="0"/>
          <c:showBubbleSize val="0"/>
        </c:dLbls>
        <c:gapWidth val="150"/>
        <c:shape val="box"/>
        <c:axId val="288951648"/>
        <c:axId val="288950472"/>
        <c:axId val="0"/>
      </c:bar3DChart>
      <c:catAx>
        <c:axId val="28895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50472"/>
        <c:crosses val="autoZero"/>
        <c:auto val="1"/>
        <c:lblAlgn val="ctr"/>
        <c:lblOffset val="100"/>
        <c:noMultiLvlLbl val="0"/>
      </c:catAx>
      <c:valAx>
        <c:axId val="288950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51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WEEK 1 TOTAL STEPS</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spPr>
            <a:ln w="38100" cap="rnd">
              <a:solidFill>
                <a:schemeClr val="accent1"/>
              </a:solidFill>
              <a:round/>
            </a:ln>
            <a:effectLst/>
          </c:spPr>
          <c:marker>
            <c:symbol val="none"/>
          </c:marker>
          <c:cat>
            <c:numRef>
              <c:f>'FITNESS GOAL PLANNER'!$D$16:$D$21</c:f>
              <c:numCache>
                <c:formatCode>m/d/yyyy</c:formatCode>
                <c:ptCount val="6"/>
                <c:pt idx="0">
                  <c:v>45833</c:v>
                </c:pt>
                <c:pt idx="1">
                  <c:v>45834</c:v>
                </c:pt>
                <c:pt idx="2">
                  <c:v>45835</c:v>
                </c:pt>
                <c:pt idx="3">
                  <c:v>45836</c:v>
                </c:pt>
                <c:pt idx="4">
                  <c:v>45837</c:v>
                </c:pt>
                <c:pt idx="5">
                  <c:v>45838</c:v>
                </c:pt>
              </c:numCache>
            </c:numRef>
          </c:cat>
          <c:val>
            <c:numRef>
              <c:f>'FITNESS GOAL PLANNER'!$E$16:$E$21</c:f>
              <c:numCache>
                <c:formatCode>General</c:formatCode>
                <c:ptCount val="6"/>
                <c:pt idx="0">
                  <c:v>76960</c:v>
                </c:pt>
                <c:pt idx="1">
                  <c:v>68404</c:v>
                </c:pt>
                <c:pt idx="2">
                  <c:v>94300</c:v>
                </c:pt>
                <c:pt idx="3">
                  <c:v>74500</c:v>
                </c:pt>
                <c:pt idx="4">
                  <c:v>82596</c:v>
                </c:pt>
                <c:pt idx="5">
                  <c:v>83914</c:v>
                </c:pt>
              </c:numCache>
            </c:numRef>
          </c:val>
          <c:smooth val="0"/>
        </c:ser>
        <c:dLbls>
          <c:showLegendKey val="0"/>
          <c:showVal val="0"/>
          <c:showCatName val="0"/>
          <c:showSerName val="0"/>
          <c:showPercent val="0"/>
          <c:showBubbleSize val="0"/>
        </c:dLbls>
        <c:smooth val="0"/>
        <c:axId val="288948120"/>
        <c:axId val="288950864"/>
      </c:lineChart>
      <c:dateAx>
        <c:axId val="2889481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88950864"/>
        <c:crosses val="autoZero"/>
        <c:auto val="1"/>
        <c:lblOffset val="100"/>
        <c:baseTimeUnit val="days"/>
      </c:dateAx>
      <c:valAx>
        <c:axId val="2889508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48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Steps Forecast – Actual vs Predicted </a:t>
            </a:r>
          </a:p>
        </c:rich>
      </c:tx>
      <c:layout>
        <c:manualLayout>
          <c:xMode val="edge"/>
          <c:yMode val="edge"/>
          <c:x val="9.6789375486748305E-2"/>
          <c:y val="3.70372425913721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numRef>
              <c:f>'FITNESS GOAL PLANNER'!$D$16:$D$27</c:f>
              <c:numCache>
                <c:formatCode>m/d/yyyy</c:formatCode>
                <c:ptCount val="12"/>
                <c:pt idx="0">
                  <c:v>45833</c:v>
                </c:pt>
                <c:pt idx="1">
                  <c:v>45834</c:v>
                </c:pt>
                <c:pt idx="2">
                  <c:v>45835</c:v>
                </c:pt>
                <c:pt idx="3">
                  <c:v>45836</c:v>
                </c:pt>
                <c:pt idx="4">
                  <c:v>45837</c:v>
                </c:pt>
                <c:pt idx="5">
                  <c:v>45838</c:v>
                </c:pt>
                <c:pt idx="6">
                  <c:v>45839</c:v>
                </c:pt>
                <c:pt idx="7">
                  <c:v>45840</c:v>
                </c:pt>
                <c:pt idx="8">
                  <c:v>45841</c:v>
                </c:pt>
                <c:pt idx="9">
                  <c:v>45842</c:v>
                </c:pt>
                <c:pt idx="10">
                  <c:v>45843</c:v>
                </c:pt>
                <c:pt idx="11">
                  <c:v>45844</c:v>
                </c:pt>
              </c:numCache>
            </c:numRef>
          </c:cat>
          <c:val>
            <c:numRef>
              <c:f>'FITNESS GOAL PLANNER'!$E$16:$E$27</c:f>
              <c:numCache>
                <c:formatCode>General</c:formatCode>
                <c:ptCount val="12"/>
                <c:pt idx="0">
                  <c:v>76960</c:v>
                </c:pt>
                <c:pt idx="1">
                  <c:v>68404</c:v>
                </c:pt>
                <c:pt idx="2">
                  <c:v>94300</c:v>
                </c:pt>
                <c:pt idx="3">
                  <c:v>74500</c:v>
                </c:pt>
                <c:pt idx="4">
                  <c:v>82596</c:v>
                </c:pt>
                <c:pt idx="5">
                  <c:v>83914</c:v>
                </c:pt>
                <c:pt idx="6">
                  <c:v>85866.933333322406</c:v>
                </c:pt>
                <c:pt idx="7">
                  <c:v>87511.104761898518</c:v>
                </c:pt>
                <c:pt idx="8">
                  <c:v>89155.276190474629</c:v>
                </c:pt>
                <c:pt idx="9">
                  <c:v>90799.447619050741</c:v>
                </c:pt>
                <c:pt idx="10">
                  <c:v>92443.619047611952</c:v>
                </c:pt>
                <c:pt idx="11">
                  <c:v>94087.790476188064</c:v>
                </c:pt>
              </c:numCache>
            </c:numRef>
          </c:val>
          <c:smooth val="0"/>
        </c:ser>
        <c:dLbls>
          <c:showLegendKey val="0"/>
          <c:showVal val="0"/>
          <c:showCatName val="0"/>
          <c:showSerName val="0"/>
          <c:showPercent val="0"/>
          <c:showBubbleSize val="0"/>
        </c:dLbls>
        <c:smooth val="0"/>
        <c:axId val="288954784"/>
        <c:axId val="288953216"/>
      </c:lineChart>
      <c:dateAx>
        <c:axId val="288954784"/>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8953216"/>
        <c:crosses val="autoZero"/>
        <c:auto val="1"/>
        <c:lblOffset val="100"/>
        <c:baseTimeUnit val="days"/>
      </c:dateAx>
      <c:valAx>
        <c:axId val="288953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89547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 TRACKER PROJECT - LAVANYA S.xlsx]PIVOT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SLEEP- ACTIVE VS INACTIVE</a:t>
            </a:r>
          </a:p>
        </c:rich>
      </c:tx>
      <c:layout>
        <c:manualLayout>
          <c:xMode val="edge"/>
          <c:yMode val="edge"/>
          <c:x val="0.13081422315437014"/>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TABLES'!$A$18:$A$20</c:f>
              <c:strCache>
                <c:ptCount val="2"/>
                <c:pt idx="0">
                  <c:v>ACTIVE</c:v>
                </c:pt>
                <c:pt idx="1">
                  <c:v>IN ACTIVE</c:v>
                </c:pt>
              </c:strCache>
            </c:strRef>
          </c:cat>
          <c:val>
            <c:numRef>
              <c:f>'PIVOT TABLES'!$B$18:$B$20</c:f>
              <c:numCache>
                <c:formatCode>General</c:formatCode>
                <c:ptCount val="2"/>
                <c:pt idx="0">
                  <c:v>5.9882352941176471</c:v>
                </c:pt>
                <c:pt idx="1">
                  <c:v>5.8039999999999994</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 TRACKER PROJECT - LAVANYA S.xlsx]PIVOT TABLES!PivotTable1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STEPS TREND BY DAY</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7030A0">
              <a:alpha val="85000"/>
            </a:srgb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
        <c:spPr>
          <a:solidFill>
            <a:srgbClr val="7030A0">
              <a:alpha val="85000"/>
            </a:srgb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alpha val="85000"/>
            </a:srgb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rgbClr val="7030A0">
                <a:alpha val="85000"/>
              </a:srgb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TABLES'!$A$4:$A$10</c:f>
              <c:strCache>
                <c:ptCount val="6"/>
                <c:pt idx="0">
                  <c:v>Monday</c:v>
                </c:pt>
                <c:pt idx="1">
                  <c:v>Wednesday</c:v>
                </c:pt>
                <c:pt idx="2">
                  <c:v>Thursday</c:v>
                </c:pt>
                <c:pt idx="3">
                  <c:v>Friday</c:v>
                </c:pt>
                <c:pt idx="4">
                  <c:v>Saturday</c:v>
                </c:pt>
                <c:pt idx="5">
                  <c:v>Sunday</c:v>
                </c:pt>
              </c:strCache>
            </c:strRef>
          </c:cat>
          <c:val>
            <c:numRef>
              <c:f>'PIVOT TABLES'!$B$4:$B$10</c:f>
              <c:numCache>
                <c:formatCode>General</c:formatCode>
                <c:ptCount val="6"/>
                <c:pt idx="0">
                  <c:v>83914</c:v>
                </c:pt>
                <c:pt idx="1">
                  <c:v>76960</c:v>
                </c:pt>
                <c:pt idx="2">
                  <c:v>68404</c:v>
                </c:pt>
                <c:pt idx="3">
                  <c:v>94300</c:v>
                </c:pt>
                <c:pt idx="4">
                  <c:v>74500</c:v>
                </c:pt>
                <c:pt idx="5">
                  <c:v>82596</c:v>
                </c:pt>
              </c:numCache>
            </c:numRef>
          </c:val>
        </c:ser>
        <c:dLbls>
          <c:showLegendKey val="0"/>
          <c:showVal val="0"/>
          <c:showCatName val="0"/>
          <c:showSerName val="0"/>
          <c:showPercent val="0"/>
          <c:showBubbleSize val="0"/>
        </c:dLbls>
        <c:gapWidth val="65"/>
        <c:shape val="box"/>
        <c:axId val="288948904"/>
        <c:axId val="287141360"/>
        <c:axId val="0"/>
      </c:bar3DChart>
      <c:catAx>
        <c:axId val="2889489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7141360"/>
        <c:crosses val="autoZero"/>
        <c:auto val="1"/>
        <c:lblAlgn val="ctr"/>
        <c:lblOffset val="100"/>
        <c:noMultiLvlLbl val="0"/>
      </c:catAx>
      <c:valAx>
        <c:axId val="2871413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894890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 TRACKER PROJECT - LAVANYA S.xlsx]PIVOT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CALORIES</a:t>
            </a:r>
            <a:r>
              <a:rPr lang="en-US" baseline="0"/>
              <a:t> BURNT BY DAYS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TABLES'!$E$3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TABLES'!$D$4:$D$10</c:f>
              <c:strCache>
                <c:ptCount val="6"/>
                <c:pt idx="0">
                  <c:v>Monday</c:v>
                </c:pt>
                <c:pt idx="1">
                  <c:v>Wednesday</c:v>
                </c:pt>
                <c:pt idx="2">
                  <c:v>Thursday</c:v>
                </c:pt>
                <c:pt idx="3">
                  <c:v>Friday</c:v>
                </c:pt>
                <c:pt idx="4">
                  <c:v>Saturday</c:v>
                </c:pt>
                <c:pt idx="5">
                  <c:v>Sunday</c:v>
                </c:pt>
              </c:strCache>
            </c:strRef>
          </c:cat>
          <c:val>
            <c:numRef>
              <c:f>'PIVOT TABLES'!$E$4:$E$10</c:f>
              <c:numCache>
                <c:formatCode>General</c:formatCode>
                <c:ptCount val="6"/>
                <c:pt idx="0">
                  <c:v>2925</c:v>
                </c:pt>
                <c:pt idx="1">
                  <c:v>2863</c:v>
                </c:pt>
                <c:pt idx="2">
                  <c:v>2258</c:v>
                </c:pt>
                <c:pt idx="3">
                  <c:v>3545</c:v>
                </c:pt>
                <c:pt idx="4">
                  <c:v>3252</c:v>
                </c:pt>
                <c:pt idx="5">
                  <c:v>2935</c:v>
                </c:pt>
              </c:numCache>
            </c:numRef>
          </c:val>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 TRACKER PROJECT - LAVANYA S.xlsx]PIVOT TABLES!PivotTable5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DURATION BY WORKOUT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TABLES'!$G$4:$G$15</c:f>
              <c:strCache>
                <c:ptCount val="11"/>
                <c:pt idx="0">
                  <c:v>CYCLING</c:v>
                </c:pt>
                <c:pt idx="1">
                  <c:v>GYM</c:v>
                </c:pt>
                <c:pt idx="2">
                  <c:v>PUSHUPS</c:v>
                </c:pt>
                <c:pt idx="3">
                  <c:v>RUNNING</c:v>
                </c:pt>
                <c:pt idx="4">
                  <c:v>SQUADS</c:v>
                </c:pt>
                <c:pt idx="5">
                  <c:v>STRETCHING</c:v>
                </c:pt>
                <c:pt idx="6">
                  <c:v>TREAD MILL</c:v>
                </c:pt>
                <c:pt idx="7">
                  <c:v>TREAD MILL  </c:v>
                </c:pt>
                <c:pt idx="8">
                  <c:v>WALKING</c:v>
                </c:pt>
                <c:pt idx="9">
                  <c:v>WEIGHT LIFTING</c:v>
                </c:pt>
                <c:pt idx="10">
                  <c:v>YOGA</c:v>
                </c:pt>
              </c:strCache>
            </c:strRef>
          </c:cat>
          <c:val>
            <c:numRef>
              <c:f>'PIVOT TABLES'!$H$4:$H$15</c:f>
              <c:numCache>
                <c:formatCode>General</c:formatCode>
                <c:ptCount val="11"/>
                <c:pt idx="0">
                  <c:v>283</c:v>
                </c:pt>
                <c:pt idx="1">
                  <c:v>342</c:v>
                </c:pt>
                <c:pt idx="2">
                  <c:v>242</c:v>
                </c:pt>
                <c:pt idx="3">
                  <c:v>190</c:v>
                </c:pt>
                <c:pt idx="4">
                  <c:v>270</c:v>
                </c:pt>
                <c:pt idx="5">
                  <c:v>193</c:v>
                </c:pt>
                <c:pt idx="6">
                  <c:v>135</c:v>
                </c:pt>
                <c:pt idx="7">
                  <c:v>45</c:v>
                </c:pt>
                <c:pt idx="8">
                  <c:v>250</c:v>
                </c:pt>
                <c:pt idx="9">
                  <c:v>244</c:v>
                </c:pt>
                <c:pt idx="10">
                  <c:v>325</c:v>
                </c:pt>
              </c:numCache>
            </c:numRef>
          </c:val>
        </c:ser>
        <c:dLbls>
          <c:showLegendKey val="0"/>
          <c:showVal val="0"/>
          <c:showCatName val="0"/>
          <c:showSerName val="0"/>
          <c:showPercent val="0"/>
          <c:showBubbleSize val="0"/>
        </c:dLbls>
        <c:gapWidth val="182"/>
        <c:axId val="287142928"/>
        <c:axId val="287139792"/>
      </c:barChart>
      <c:catAx>
        <c:axId val="2871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39792"/>
        <c:crosses val="autoZero"/>
        <c:auto val="1"/>
        <c:lblAlgn val="ctr"/>
        <c:lblOffset val="100"/>
        <c:noMultiLvlLbl val="0"/>
      </c:catAx>
      <c:valAx>
        <c:axId val="28713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42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233363</xdr:colOff>
      <xdr:row>31</xdr:row>
      <xdr:rowOff>161925</xdr:rowOff>
    </xdr:from>
    <xdr:to>
      <xdr:col>5</xdr:col>
      <xdr:colOff>419101</xdr:colOff>
      <xdr:row>46</xdr:row>
      <xdr:rowOff>47625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190500</xdr:colOff>
      <xdr:row>14</xdr:row>
      <xdr:rowOff>85725</xdr:rowOff>
    </xdr:from>
    <xdr:to>
      <xdr:col>8</xdr:col>
      <xdr:colOff>466725</xdr:colOff>
      <xdr:row>23</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247649</xdr:colOff>
      <xdr:row>14</xdr:row>
      <xdr:rowOff>19049</xdr:rowOff>
    </xdr:from>
    <xdr:to>
      <xdr:col>15</xdr:col>
      <xdr:colOff>338136</xdr:colOff>
      <xdr:row>25</xdr:row>
      <xdr:rowOff>85724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371475</xdr:colOff>
      <xdr:row>22</xdr:row>
      <xdr:rowOff>95250</xdr:rowOff>
    </xdr:from>
    <xdr:to>
      <xdr:col>2</xdr:col>
      <xdr:colOff>628650</xdr:colOff>
      <xdr:row>35</xdr:row>
      <xdr:rowOff>142875</xdr:rowOff>
    </xdr:to>
    <mc:AlternateContent xmlns:mc="http://schemas.openxmlformats.org/markup-compatibility/2006" xmlns:a14="http://schemas.microsoft.com/office/drawing/2010/main">
      <mc:Choice Requires="a14">
        <xdr:graphicFrame macro="">
          <xdr:nvGraphicFramePr>
            <xdr:cNvPr id="6"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71475" y="4295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342899</xdr:colOff>
      <xdr:row>15</xdr:row>
      <xdr:rowOff>66675</xdr:rowOff>
    </xdr:from>
    <xdr:to>
      <xdr:col>6</xdr:col>
      <xdr:colOff>323850</xdr:colOff>
      <xdr:row>29</xdr:row>
      <xdr:rowOff>133350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0</xdr:rowOff>
    </xdr:from>
    <xdr:to>
      <xdr:col>19</xdr:col>
      <xdr:colOff>520552</xdr:colOff>
      <xdr:row>4</xdr:row>
      <xdr:rowOff>73200</xdr:rowOff>
    </xdr:to>
    <xdr:sp macro="" textlink="">
      <xdr:nvSpPr>
        <xdr:cNvPr id="3" name="Rounded Rectangle 2"/>
        <xdr:cNvSpPr/>
      </xdr:nvSpPr>
      <xdr:spPr>
        <a:xfrm>
          <a:off x="1" y="0"/>
          <a:ext cx="12094534" cy="82634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0</xdr:col>
      <xdr:colOff>0</xdr:colOff>
      <xdr:row>4</xdr:row>
      <xdr:rowOff>99680</xdr:rowOff>
    </xdr:from>
    <xdr:to>
      <xdr:col>3</xdr:col>
      <xdr:colOff>332529</xdr:colOff>
      <xdr:row>9</xdr:row>
      <xdr:rowOff>0</xdr:rowOff>
    </xdr:to>
    <xdr:grpSp>
      <xdr:nvGrpSpPr>
        <xdr:cNvPr id="29" name="Group 28"/>
        <xdr:cNvGrpSpPr/>
      </xdr:nvGrpSpPr>
      <xdr:grpSpPr>
        <a:xfrm>
          <a:off x="0" y="882557"/>
          <a:ext cx="2172289" cy="878916"/>
          <a:chOff x="0" y="852820"/>
          <a:chExt cx="2160000" cy="841744"/>
        </a:xfrm>
      </xdr:grpSpPr>
      <xdr:sp macro="" textlink="">
        <xdr:nvSpPr>
          <xdr:cNvPr id="4" name="Rounded Rectangle 3"/>
          <xdr:cNvSpPr/>
        </xdr:nvSpPr>
        <xdr:spPr>
          <a:xfrm>
            <a:off x="0" y="852820"/>
            <a:ext cx="2160000" cy="830669"/>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xdr:cNvGrpSpPr/>
        </xdr:nvGrpSpPr>
        <xdr:grpSpPr>
          <a:xfrm>
            <a:off x="0" y="863896"/>
            <a:ext cx="1971453" cy="830668"/>
            <a:chOff x="0" y="874972"/>
            <a:chExt cx="1971453" cy="830668"/>
          </a:xfrm>
        </xdr:grpSpPr>
        <xdr:sp macro="" textlink="">
          <xdr:nvSpPr>
            <xdr:cNvPr id="5" name="Rounded Rectangle 4"/>
            <xdr:cNvSpPr/>
          </xdr:nvSpPr>
          <xdr:spPr>
            <a:xfrm>
              <a:off x="0" y="874972"/>
              <a:ext cx="852820" cy="830668"/>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xdr:cNvSpPr txBox="1"/>
          </xdr:nvSpPr>
          <xdr:spPr>
            <a:xfrm>
              <a:off x="919273" y="941424"/>
              <a:ext cx="1052180" cy="265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cap="none" spc="0">
                  <a:ln w="0"/>
                  <a:solidFill>
                    <a:schemeClr val="accent1"/>
                  </a:solidFill>
                  <a:effectLst>
                    <a:outerShdw blurRad="38100" dist="25400" dir="5400000" algn="ctr" rotWithShape="0">
                      <a:srgbClr val="6E747A">
                        <a:alpha val="43000"/>
                      </a:srgbClr>
                    </a:outerShdw>
                  </a:effectLst>
                </a:rPr>
                <a:t>TOTAL STEPS</a:t>
              </a:r>
            </a:p>
          </xdr:txBody>
        </xdr:sp>
        <xdr:sp macro="" textlink="'MEMBER ANALYSIS'!A51">
          <xdr:nvSpPr>
            <xdr:cNvPr id="7" name="TextBox 6"/>
            <xdr:cNvSpPr txBox="1"/>
          </xdr:nvSpPr>
          <xdr:spPr>
            <a:xfrm>
              <a:off x="1063255" y="1218314"/>
              <a:ext cx="863896"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E1617-6FFE-4731-87E9-6607F57F04AF}" type="TxLink">
                <a:rPr lang="en-US" sz="14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480674</a:t>
              </a:fld>
              <a:endParaRPr lang="en-IN" sz="1400" b="0" cap="none" spc="0">
                <a:ln w="0"/>
                <a:solidFill>
                  <a:schemeClr val="accent1"/>
                </a:solidFill>
                <a:effectLst>
                  <a:outerShdw blurRad="38100" dist="25400" dir="5400000" algn="ctr" rotWithShape="0">
                    <a:srgbClr val="6E747A">
                      <a:alpha val="43000"/>
                    </a:srgbClr>
                  </a:outerShdw>
                </a:effectLst>
              </a:endParaRPr>
            </a:p>
          </xdr:txBody>
        </xdr:sp>
      </xdr:grpSp>
    </xdr:grpSp>
    <xdr:clientData/>
  </xdr:twoCellAnchor>
  <xdr:twoCellAnchor>
    <xdr:from>
      <xdr:col>3</xdr:col>
      <xdr:colOff>287965</xdr:colOff>
      <xdr:row>4</xdr:row>
      <xdr:rowOff>99680</xdr:rowOff>
    </xdr:from>
    <xdr:to>
      <xdr:col>7</xdr:col>
      <xdr:colOff>11337</xdr:colOff>
      <xdr:row>9</xdr:row>
      <xdr:rowOff>0</xdr:rowOff>
    </xdr:to>
    <xdr:grpSp>
      <xdr:nvGrpSpPr>
        <xdr:cNvPr id="30" name="Group 29"/>
        <xdr:cNvGrpSpPr/>
      </xdr:nvGrpSpPr>
      <xdr:grpSpPr>
        <a:xfrm>
          <a:off x="2127725" y="882557"/>
          <a:ext cx="2176386" cy="878916"/>
          <a:chOff x="0" y="852820"/>
          <a:chExt cx="2160000" cy="841744"/>
        </a:xfrm>
      </xdr:grpSpPr>
      <xdr:sp macro="" textlink="">
        <xdr:nvSpPr>
          <xdr:cNvPr id="31" name="Rounded Rectangle 30"/>
          <xdr:cNvSpPr/>
        </xdr:nvSpPr>
        <xdr:spPr>
          <a:xfrm>
            <a:off x="0" y="852820"/>
            <a:ext cx="2160000" cy="830669"/>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2" name="Group 31"/>
          <xdr:cNvGrpSpPr/>
        </xdr:nvGrpSpPr>
        <xdr:grpSpPr>
          <a:xfrm>
            <a:off x="0" y="863896"/>
            <a:ext cx="2126511" cy="830668"/>
            <a:chOff x="0" y="874972"/>
            <a:chExt cx="2126511" cy="830668"/>
          </a:xfrm>
        </xdr:grpSpPr>
        <xdr:sp macro="" textlink="">
          <xdr:nvSpPr>
            <xdr:cNvPr id="33" name="Rounded Rectangle 32"/>
            <xdr:cNvSpPr/>
          </xdr:nvSpPr>
          <xdr:spPr>
            <a:xfrm>
              <a:off x="0" y="874972"/>
              <a:ext cx="852820" cy="830668"/>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xdr:cNvSpPr txBox="1"/>
          </xdr:nvSpPr>
          <xdr:spPr>
            <a:xfrm>
              <a:off x="919272" y="941424"/>
              <a:ext cx="1207239" cy="265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cap="none" spc="0">
                  <a:ln w="0"/>
                  <a:solidFill>
                    <a:schemeClr val="accent1"/>
                  </a:solidFill>
                  <a:effectLst>
                    <a:outerShdw blurRad="38100" dist="25400" dir="5400000" algn="ctr" rotWithShape="0">
                      <a:srgbClr val="6E747A">
                        <a:alpha val="43000"/>
                      </a:srgbClr>
                    </a:outerShdw>
                  </a:effectLst>
                </a:rPr>
                <a:t>TOTAL CALORIES</a:t>
              </a:r>
            </a:p>
          </xdr:txBody>
        </xdr:sp>
        <xdr:sp macro="" textlink="'MEMBER ANALYSIS'!B51">
          <xdr:nvSpPr>
            <xdr:cNvPr id="35" name="TextBox 34"/>
            <xdr:cNvSpPr txBox="1"/>
          </xdr:nvSpPr>
          <xdr:spPr>
            <a:xfrm>
              <a:off x="1063255" y="1218314"/>
              <a:ext cx="863896"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067B92-DC4E-42EA-818B-42C3DBA5909C}" type="TxLink">
                <a:rPr lang="en-US" sz="14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17778</a:t>
              </a:fld>
              <a:endParaRPr lang="en-IN" sz="1800" b="0" cap="none" spc="0">
                <a:ln w="0"/>
                <a:solidFill>
                  <a:schemeClr val="accent1"/>
                </a:solidFill>
                <a:effectLst>
                  <a:outerShdw blurRad="38100" dist="25400" dir="5400000" algn="ctr" rotWithShape="0">
                    <a:srgbClr val="6E747A">
                      <a:alpha val="43000"/>
                    </a:srgbClr>
                  </a:outerShdw>
                </a:effectLst>
              </a:endParaRPr>
            </a:p>
          </xdr:txBody>
        </xdr:sp>
      </xdr:grpSp>
    </xdr:grpSp>
    <xdr:clientData/>
  </xdr:twoCellAnchor>
  <xdr:twoCellAnchor>
    <xdr:from>
      <xdr:col>6</xdr:col>
      <xdr:colOff>575930</xdr:colOff>
      <xdr:row>4</xdr:row>
      <xdr:rowOff>99679</xdr:rowOff>
    </xdr:from>
    <xdr:to>
      <xdr:col>10</xdr:col>
      <xdr:colOff>299302</xdr:colOff>
      <xdr:row>8</xdr:row>
      <xdr:rowOff>188284</xdr:rowOff>
    </xdr:to>
    <xdr:grpSp>
      <xdr:nvGrpSpPr>
        <xdr:cNvPr id="36" name="Group 35"/>
        <xdr:cNvGrpSpPr/>
      </xdr:nvGrpSpPr>
      <xdr:grpSpPr>
        <a:xfrm>
          <a:off x="4255451" y="882556"/>
          <a:ext cx="2176385" cy="871481"/>
          <a:chOff x="0" y="852820"/>
          <a:chExt cx="2160000" cy="841744"/>
        </a:xfrm>
      </xdr:grpSpPr>
      <xdr:sp macro="" textlink="">
        <xdr:nvSpPr>
          <xdr:cNvPr id="37" name="Rounded Rectangle 36"/>
          <xdr:cNvSpPr/>
        </xdr:nvSpPr>
        <xdr:spPr>
          <a:xfrm>
            <a:off x="0" y="852820"/>
            <a:ext cx="2160000" cy="830669"/>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8" name="Group 37"/>
          <xdr:cNvGrpSpPr/>
        </xdr:nvGrpSpPr>
        <xdr:grpSpPr>
          <a:xfrm>
            <a:off x="0" y="863896"/>
            <a:ext cx="1971453" cy="830668"/>
            <a:chOff x="0" y="874972"/>
            <a:chExt cx="1971453" cy="830668"/>
          </a:xfrm>
        </xdr:grpSpPr>
        <xdr:sp macro="" textlink="">
          <xdr:nvSpPr>
            <xdr:cNvPr id="39" name="Rounded Rectangle 38"/>
            <xdr:cNvSpPr/>
          </xdr:nvSpPr>
          <xdr:spPr>
            <a:xfrm>
              <a:off x="0" y="874972"/>
              <a:ext cx="852820" cy="830668"/>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xdr:cNvSpPr txBox="1"/>
          </xdr:nvSpPr>
          <xdr:spPr>
            <a:xfrm>
              <a:off x="919273" y="908197"/>
              <a:ext cx="1052180" cy="265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cap="none" spc="0" baseline="0">
                  <a:ln w="0"/>
                  <a:solidFill>
                    <a:schemeClr val="accent1"/>
                  </a:solidFill>
                  <a:effectLst>
                    <a:outerShdw blurRad="38100" dist="25400" dir="5400000" algn="ctr" rotWithShape="0">
                      <a:srgbClr val="6E747A">
                        <a:alpha val="43000"/>
                      </a:srgbClr>
                    </a:outerShdw>
                  </a:effectLst>
                </a:rPr>
                <a:t>DURATION</a:t>
              </a:r>
              <a:endParaRPr lang="en-IN" sz="1100" b="1" cap="none" spc="0" baseline="0">
                <a:ln w="0"/>
                <a:solidFill>
                  <a:schemeClr val="accent1"/>
                </a:solidFill>
                <a:effectLst>
                  <a:outerShdw blurRad="38100" dist="25400" dir="5400000" algn="ctr" rotWithShape="0">
                    <a:srgbClr val="6E747A">
                      <a:alpha val="43000"/>
                    </a:srgbClr>
                  </a:outerShdw>
                </a:effectLst>
              </a:endParaRPr>
            </a:p>
            <a:p>
              <a:endParaRPr lang="en-IN" sz="1100" b="1" cap="none" spc="0">
                <a:ln w="0"/>
                <a:solidFill>
                  <a:schemeClr val="accent1"/>
                </a:solidFill>
                <a:effectLst>
                  <a:outerShdw blurRad="38100" dist="25400" dir="5400000" algn="ctr" rotWithShape="0">
                    <a:srgbClr val="6E747A">
                      <a:alpha val="43000"/>
                    </a:srgbClr>
                  </a:outerShdw>
                </a:effectLst>
              </a:endParaRPr>
            </a:p>
          </xdr:txBody>
        </xdr:sp>
        <xdr:sp macro="" textlink="'MEMBER ANALYSIS'!F51">
          <xdr:nvSpPr>
            <xdr:cNvPr id="41" name="TextBox 40"/>
            <xdr:cNvSpPr txBox="1"/>
          </xdr:nvSpPr>
          <xdr:spPr>
            <a:xfrm>
              <a:off x="1063255" y="1218314"/>
              <a:ext cx="863896"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9EF129-D0D2-4625-ABE8-35C5AB4E90FE}" type="TxLink">
                <a:rPr lang="en-US" sz="14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lgn="ctr"/>
                <a:t>2519</a:t>
              </a:fld>
              <a:endParaRPr lang="en-IN" sz="1800" b="0" cap="none" spc="0">
                <a:ln w="0"/>
                <a:solidFill>
                  <a:schemeClr val="accent1"/>
                </a:solidFill>
                <a:effectLst>
                  <a:outerShdw blurRad="38100" dist="25400" dir="5400000" algn="ctr" rotWithShape="0">
                    <a:srgbClr val="6E747A">
                      <a:alpha val="43000"/>
                    </a:srgbClr>
                  </a:outerShdw>
                </a:effectLst>
              </a:endParaRPr>
            </a:p>
          </xdr:txBody>
        </xdr:sp>
      </xdr:grpSp>
    </xdr:grpSp>
    <xdr:clientData/>
  </xdr:twoCellAnchor>
  <xdr:twoCellAnchor>
    <xdr:from>
      <xdr:col>10</xdr:col>
      <xdr:colOff>332267</xdr:colOff>
      <xdr:row>4</xdr:row>
      <xdr:rowOff>99679</xdr:rowOff>
    </xdr:from>
    <xdr:to>
      <xdr:col>14</xdr:col>
      <xdr:colOff>55639</xdr:colOff>
      <xdr:row>8</xdr:row>
      <xdr:rowOff>188284</xdr:rowOff>
    </xdr:to>
    <xdr:grpSp>
      <xdr:nvGrpSpPr>
        <xdr:cNvPr id="42" name="Group 41"/>
        <xdr:cNvGrpSpPr/>
      </xdr:nvGrpSpPr>
      <xdr:grpSpPr>
        <a:xfrm>
          <a:off x="6464801" y="882556"/>
          <a:ext cx="2176386" cy="871481"/>
          <a:chOff x="0" y="852820"/>
          <a:chExt cx="2160000" cy="841744"/>
        </a:xfrm>
      </xdr:grpSpPr>
      <xdr:sp macro="" textlink="">
        <xdr:nvSpPr>
          <xdr:cNvPr id="43" name="Rounded Rectangle 42"/>
          <xdr:cNvSpPr/>
        </xdr:nvSpPr>
        <xdr:spPr>
          <a:xfrm>
            <a:off x="0" y="852820"/>
            <a:ext cx="2160000" cy="830669"/>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4" name="Group 43"/>
          <xdr:cNvGrpSpPr/>
        </xdr:nvGrpSpPr>
        <xdr:grpSpPr>
          <a:xfrm>
            <a:off x="0" y="863896"/>
            <a:ext cx="2159739" cy="830668"/>
            <a:chOff x="0" y="874972"/>
            <a:chExt cx="2159739" cy="830668"/>
          </a:xfrm>
        </xdr:grpSpPr>
        <xdr:sp macro="" textlink="">
          <xdr:nvSpPr>
            <xdr:cNvPr id="45" name="Rounded Rectangle 44"/>
            <xdr:cNvSpPr/>
          </xdr:nvSpPr>
          <xdr:spPr>
            <a:xfrm>
              <a:off x="0" y="874972"/>
              <a:ext cx="852820" cy="830668"/>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xdr:cNvSpPr txBox="1"/>
          </xdr:nvSpPr>
          <xdr:spPr>
            <a:xfrm>
              <a:off x="919273" y="941424"/>
              <a:ext cx="1240466" cy="265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none" spc="0">
                  <a:ln w="0"/>
                  <a:solidFill>
                    <a:schemeClr val="accent1"/>
                  </a:solidFill>
                  <a:effectLst>
                    <a:outerShdw blurRad="38100" dist="25400" dir="5400000" algn="ctr" rotWithShape="0">
                      <a:srgbClr val="6E747A">
                        <a:alpha val="43000"/>
                      </a:srgbClr>
                    </a:outerShdw>
                  </a:effectLst>
                </a:rPr>
                <a:t>AVERAGE</a:t>
              </a:r>
              <a:r>
                <a:rPr lang="en-IN" sz="1100" b="1" cap="none" spc="0" baseline="0">
                  <a:ln w="0"/>
                  <a:solidFill>
                    <a:schemeClr val="accent1"/>
                  </a:solidFill>
                  <a:effectLst>
                    <a:outerShdw blurRad="38100" dist="25400" dir="5400000" algn="ctr" rotWithShape="0">
                      <a:srgbClr val="6E747A">
                        <a:alpha val="43000"/>
                      </a:srgbClr>
                    </a:outerShdw>
                  </a:effectLst>
                </a:rPr>
                <a:t> </a:t>
              </a:r>
              <a:r>
                <a:rPr lang="en-IN" sz="1200" b="1" cap="none" spc="0" baseline="0">
                  <a:ln w="0"/>
                  <a:solidFill>
                    <a:schemeClr val="accent1"/>
                  </a:solidFill>
                  <a:effectLst>
                    <a:outerShdw blurRad="38100" dist="25400" dir="5400000" algn="ctr" rotWithShape="0">
                      <a:srgbClr val="6E747A">
                        <a:alpha val="43000"/>
                      </a:srgbClr>
                    </a:outerShdw>
                  </a:effectLst>
                </a:rPr>
                <a:t>SLEEP</a:t>
              </a:r>
              <a:endParaRPr lang="en-IN" sz="1200" b="1" cap="none" spc="0">
                <a:ln w="0"/>
                <a:solidFill>
                  <a:schemeClr val="accent1"/>
                </a:solidFill>
                <a:effectLst>
                  <a:outerShdw blurRad="38100" dist="25400" dir="5400000" algn="ctr" rotWithShape="0">
                    <a:srgbClr val="6E747A">
                      <a:alpha val="43000"/>
                    </a:srgbClr>
                  </a:outerShdw>
                </a:effectLst>
              </a:endParaRPr>
            </a:p>
          </xdr:txBody>
        </xdr:sp>
        <xdr:sp macro="" textlink="'MEMBER ANALYSIS'!C51">
          <xdr:nvSpPr>
            <xdr:cNvPr id="47" name="TextBox 46"/>
            <xdr:cNvSpPr txBox="1"/>
          </xdr:nvSpPr>
          <xdr:spPr>
            <a:xfrm>
              <a:off x="1063255" y="1218314"/>
              <a:ext cx="863896"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867B87-F8A9-4079-8295-85218ACF1969}" type="TxLink">
                <a:rPr lang="en-US" sz="16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lgn="ctr"/>
                <a:t>5.9</a:t>
              </a:fld>
              <a:endParaRPr lang="en-IN" sz="2000" b="0" cap="none" spc="0">
                <a:ln w="0"/>
                <a:solidFill>
                  <a:schemeClr val="accent1"/>
                </a:solidFill>
                <a:effectLst>
                  <a:outerShdw blurRad="38100" dist="25400" dir="5400000" algn="ctr" rotWithShape="0">
                    <a:srgbClr val="6E747A">
                      <a:alpha val="43000"/>
                    </a:srgbClr>
                  </a:outerShdw>
                </a:effectLst>
              </a:endParaRPr>
            </a:p>
          </xdr:txBody>
        </xdr:sp>
      </xdr:grpSp>
    </xdr:grpSp>
    <xdr:clientData/>
  </xdr:twoCellAnchor>
  <xdr:twoCellAnchor>
    <xdr:from>
      <xdr:col>14</xdr:col>
      <xdr:colOff>55377</xdr:colOff>
      <xdr:row>4</xdr:row>
      <xdr:rowOff>99679</xdr:rowOff>
    </xdr:from>
    <xdr:to>
      <xdr:col>17</xdr:col>
      <xdr:colOff>387906</xdr:colOff>
      <xdr:row>8</xdr:row>
      <xdr:rowOff>188284</xdr:rowOff>
    </xdr:to>
    <xdr:grpSp>
      <xdr:nvGrpSpPr>
        <xdr:cNvPr id="48" name="Group 47"/>
        <xdr:cNvGrpSpPr/>
      </xdr:nvGrpSpPr>
      <xdr:grpSpPr>
        <a:xfrm>
          <a:off x="8640925" y="882556"/>
          <a:ext cx="2172289" cy="871481"/>
          <a:chOff x="0" y="852820"/>
          <a:chExt cx="2160000" cy="841744"/>
        </a:xfrm>
      </xdr:grpSpPr>
      <xdr:sp macro="" textlink="">
        <xdr:nvSpPr>
          <xdr:cNvPr id="49" name="Rounded Rectangle 48"/>
          <xdr:cNvSpPr/>
        </xdr:nvSpPr>
        <xdr:spPr>
          <a:xfrm>
            <a:off x="0" y="852820"/>
            <a:ext cx="2160000" cy="830669"/>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0" name="Group 49"/>
          <xdr:cNvGrpSpPr/>
        </xdr:nvGrpSpPr>
        <xdr:grpSpPr>
          <a:xfrm>
            <a:off x="0" y="863896"/>
            <a:ext cx="1971453" cy="830668"/>
            <a:chOff x="0" y="874972"/>
            <a:chExt cx="1971453" cy="830668"/>
          </a:xfrm>
        </xdr:grpSpPr>
        <xdr:sp macro="" textlink="">
          <xdr:nvSpPr>
            <xdr:cNvPr id="51" name="Rounded Rectangle 50"/>
            <xdr:cNvSpPr/>
          </xdr:nvSpPr>
          <xdr:spPr>
            <a:xfrm>
              <a:off x="0" y="874972"/>
              <a:ext cx="852820" cy="830668"/>
            </a:xfrm>
            <a:prstGeom prst="roundRect">
              <a:avLst/>
            </a:prstGeom>
            <a:solidFill>
              <a:schemeClr val="accent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xdr:cNvSpPr txBox="1"/>
          </xdr:nvSpPr>
          <xdr:spPr>
            <a:xfrm>
              <a:off x="919273" y="941424"/>
              <a:ext cx="1052180" cy="2658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cap="none" spc="0">
                  <a:ln w="0"/>
                  <a:solidFill>
                    <a:schemeClr val="accent1"/>
                  </a:solidFill>
                  <a:effectLst>
                    <a:outerShdw blurRad="38100" dist="25400" dir="5400000" algn="ctr" rotWithShape="0">
                      <a:srgbClr val="6E747A">
                        <a:alpha val="43000"/>
                      </a:srgbClr>
                    </a:outerShdw>
                  </a:effectLst>
                </a:rPr>
                <a:t>ACTIVE</a:t>
              </a:r>
              <a:r>
                <a:rPr lang="en-IN" sz="1100" b="1" cap="none" spc="0" baseline="0">
                  <a:ln w="0"/>
                  <a:solidFill>
                    <a:schemeClr val="accent1"/>
                  </a:solidFill>
                  <a:effectLst>
                    <a:outerShdw blurRad="38100" dist="25400" dir="5400000" algn="ctr" rotWithShape="0">
                      <a:srgbClr val="6E747A">
                        <a:alpha val="43000"/>
                      </a:srgbClr>
                    </a:outerShdw>
                  </a:effectLst>
                </a:rPr>
                <a:t> USERS</a:t>
              </a:r>
            </a:p>
            <a:p>
              <a:endParaRPr lang="en-IN" sz="1100" b="1" cap="none" spc="0">
                <a:ln w="0"/>
                <a:solidFill>
                  <a:schemeClr val="accent1"/>
                </a:solidFill>
                <a:effectLst>
                  <a:outerShdw blurRad="38100" dist="25400" dir="5400000" algn="ctr" rotWithShape="0">
                    <a:srgbClr val="6E747A">
                      <a:alpha val="43000"/>
                    </a:srgbClr>
                  </a:outerShdw>
                </a:effectLst>
              </a:endParaRPr>
            </a:p>
          </xdr:txBody>
        </xdr:sp>
        <xdr:sp macro="" textlink="'MEMBER ANALYSIS'!D51">
          <xdr:nvSpPr>
            <xdr:cNvPr id="53" name="TextBox 52"/>
            <xdr:cNvSpPr txBox="1"/>
          </xdr:nvSpPr>
          <xdr:spPr>
            <a:xfrm>
              <a:off x="1063255" y="1218314"/>
              <a:ext cx="863896"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F335C5-083F-48DE-923C-C59318C28A4A}" type="TxLink">
                <a:rPr lang="en-US" sz="14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lgn="ctr"/>
                <a:t>34</a:t>
              </a:fld>
              <a:endParaRPr lang="en-IN" sz="1800" b="0" cap="none" spc="0">
                <a:ln w="0"/>
                <a:solidFill>
                  <a:schemeClr val="accent1"/>
                </a:solidFill>
                <a:effectLst>
                  <a:outerShdw blurRad="38100" dist="25400" dir="5400000" algn="ctr" rotWithShape="0">
                    <a:srgbClr val="6E747A">
                      <a:alpha val="43000"/>
                    </a:srgbClr>
                  </a:outerShdw>
                </a:effectLst>
              </a:endParaRPr>
            </a:p>
          </xdr:txBody>
        </xdr:sp>
      </xdr:grpSp>
    </xdr:grpSp>
    <xdr:clientData/>
  </xdr:twoCellAnchor>
  <xdr:twoCellAnchor>
    <xdr:from>
      <xdr:col>0</xdr:col>
      <xdr:colOff>210436</xdr:colOff>
      <xdr:row>5</xdr:row>
      <xdr:rowOff>132908</xdr:rowOff>
    </xdr:from>
    <xdr:to>
      <xdr:col>1</xdr:col>
      <xdr:colOff>55378</xdr:colOff>
      <xdr:row>8</xdr:row>
      <xdr:rowOff>11077</xdr:rowOff>
    </xdr:to>
    <xdr:sp macro="" textlink="">
      <xdr:nvSpPr>
        <xdr:cNvPr id="54" name="TextBox 53"/>
        <xdr:cNvSpPr txBox="1"/>
      </xdr:nvSpPr>
      <xdr:spPr>
        <a:xfrm>
          <a:off x="210436" y="1074332"/>
          <a:ext cx="454099" cy="44302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a:t>
          </a:r>
        </a:p>
      </xdr:txBody>
    </xdr:sp>
    <xdr:clientData/>
  </xdr:twoCellAnchor>
  <xdr:twoCellAnchor>
    <xdr:from>
      <xdr:col>3</xdr:col>
      <xdr:colOff>531628</xdr:colOff>
      <xdr:row>5</xdr:row>
      <xdr:rowOff>177210</xdr:rowOff>
    </xdr:from>
    <xdr:to>
      <xdr:col>4</xdr:col>
      <xdr:colOff>299041</xdr:colOff>
      <xdr:row>7</xdr:row>
      <xdr:rowOff>143983</xdr:rowOff>
    </xdr:to>
    <xdr:sp macro="" textlink="">
      <xdr:nvSpPr>
        <xdr:cNvPr id="55" name="TextBox 54"/>
        <xdr:cNvSpPr txBox="1"/>
      </xdr:nvSpPr>
      <xdr:spPr>
        <a:xfrm>
          <a:off x="2359099" y="1118634"/>
          <a:ext cx="376570" cy="34334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22225">
                <a:solidFill>
                  <a:schemeClr val="accent2"/>
                </a:solidFill>
                <a:prstDash val="solid"/>
              </a:ln>
              <a:solidFill>
                <a:schemeClr val="accent2">
                  <a:lumMod val="40000"/>
                  <a:lumOff val="60000"/>
                </a:schemeClr>
              </a:solidFill>
              <a:effectLst/>
            </a:rPr>
            <a:t>🔥 </a:t>
          </a:r>
        </a:p>
      </xdr:txBody>
    </xdr:sp>
    <xdr:clientData/>
  </xdr:twoCellAnchor>
  <xdr:twoCellAnchor>
    <xdr:from>
      <xdr:col>7</xdr:col>
      <xdr:colOff>177209</xdr:colOff>
      <xdr:row>5</xdr:row>
      <xdr:rowOff>177210</xdr:rowOff>
    </xdr:from>
    <xdr:to>
      <xdr:col>8</xdr:col>
      <xdr:colOff>33227</xdr:colOff>
      <xdr:row>7</xdr:row>
      <xdr:rowOff>166134</xdr:rowOff>
    </xdr:to>
    <xdr:sp macro="" textlink="">
      <xdr:nvSpPr>
        <xdr:cNvPr id="56" name="TextBox 55"/>
        <xdr:cNvSpPr txBox="1"/>
      </xdr:nvSpPr>
      <xdr:spPr>
        <a:xfrm>
          <a:off x="4441308" y="1118634"/>
          <a:ext cx="465175" cy="36549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a:t>
          </a:r>
          <a:endParaRPr lang="en-IN" sz="1100"/>
        </a:p>
      </xdr:txBody>
    </xdr:sp>
    <xdr:clientData/>
  </xdr:twoCellAnchor>
  <xdr:twoCellAnchor>
    <xdr:from>
      <xdr:col>7</xdr:col>
      <xdr:colOff>287965</xdr:colOff>
      <xdr:row>6</xdr:row>
      <xdr:rowOff>77529</xdr:rowOff>
    </xdr:from>
    <xdr:to>
      <xdr:col>7</xdr:col>
      <xdr:colOff>531628</xdr:colOff>
      <xdr:row>7</xdr:row>
      <xdr:rowOff>77529</xdr:rowOff>
    </xdr:to>
    <xdr:sp macro="" textlink="">
      <xdr:nvSpPr>
        <xdr:cNvPr id="59" name="Quad Arrow 58"/>
        <xdr:cNvSpPr/>
      </xdr:nvSpPr>
      <xdr:spPr>
        <a:xfrm>
          <a:off x="4552064" y="1207238"/>
          <a:ext cx="243663" cy="188285"/>
        </a:xfrm>
        <a:prstGeom prst="quad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520552</xdr:colOff>
      <xdr:row>6</xdr:row>
      <xdr:rowOff>11076</xdr:rowOff>
    </xdr:from>
    <xdr:to>
      <xdr:col>11</xdr:col>
      <xdr:colOff>354418</xdr:colOff>
      <xdr:row>7</xdr:row>
      <xdr:rowOff>121832</xdr:rowOff>
    </xdr:to>
    <xdr:sp macro="" textlink="">
      <xdr:nvSpPr>
        <xdr:cNvPr id="61" name="TextBox 60"/>
        <xdr:cNvSpPr txBox="1"/>
      </xdr:nvSpPr>
      <xdr:spPr>
        <a:xfrm>
          <a:off x="6612122" y="1140785"/>
          <a:ext cx="443023" cy="29904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33226</xdr:colOff>
      <xdr:row>6</xdr:row>
      <xdr:rowOff>55378</xdr:rowOff>
    </xdr:from>
    <xdr:to>
      <xdr:col>11</xdr:col>
      <xdr:colOff>265814</xdr:colOff>
      <xdr:row>7</xdr:row>
      <xdr:rowOff>66454</xdr:rowOff>
    </xdr:to>
    <xdr:sp macro="" textlink="">
      <xdr:nvSpPr>
        <xdr:cNvPr id="62" name="Smiley Face 61"/>
        <xdr:cNvSpPr/>
      </xdr:nvSpPr>
      <xdr:spPr>
        <a:xfrm>
          <a:off x="6733953" y="1185087"/>
          <a:ext cx="232588" cy="199361"/>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14</xdr:col>
      <xdr:colOff>265814</xdr:colOff>
      <xdr:row>5</xdr:row>
      <xdr:rowOff>143983</xdr:rowOff>
    </xdr:from>
    <xdr:to>
      <xdr:col>15</xdr:col>
      <xdr:colOff>44302</xdr:colOff>
      <xdr:row>7</xdr:row>
      <xdr:rowOff>66454</xdr:rowOff>
    </xdr:to>
    <xdr:sp macro="" textlink="">
      <xdr:nvSpPr>
        <xdr:cNvPr id="63" name="TextBox 62"/>
        <xdr:cNvSpPr txBox="1"/>
      </xdr:nvSpPr>
      <xdr:spPr>
        <a:xfrm>
          <a:off x="8794012" y="1085407"/>
          <a:ext cx="387645" cy="29904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p>
      </xdr:txBody>
    </xdr:sp>
    <xdr:clientData/>
  </xdr:twoCellAnchor>
  <xdr:twoCellAnchor>
    <xdr:from>
      <xdr:col>3</xdr:col>
      <xdr:colOff>77529</xdr:colOff>
      <xdr:row>1</xdr:row>
      <xdr:rowOff>99680</xdr:rowOff>
    </xdr:from>
    <xdr:to>
      <xdr:col>14</xdr:col>
      <xdr:colOff>498401</xdr:colOff>
      <xdr:row>2</xdr:row>
      <xdr:rowOff>177209</xdr:rowOff>
    </xdr:to>
    <xdr:sp macro="" textlink="">
      <xdr:nvSpPr>
        <xdr:cNvPr id="2" name="TextBox 1"/>
        <xdr:cNvSpPr txBox="1"/>
      </xdr:nvSpPr>
      <xdr:spPr>
        <a:xfrm>
          <a:off x="1905000" y="287965"/>
          <a:ext cx="7121599" cy="26581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FITNESS TRACKER DASHBOARD</a:t>
          </a:r>
        </a:p>
      </xdr:txBody>
    </xdr:sp>
    <xdr:clientData/>
  </xdr:twoCellAnchor>
  <xdr:twoCellAnchor>
    <xdr:from>
      <xdr:col>0</xdr:col>
      <xdr:colOff>0</xdr:colOff>
      <xdr:row>9</xdr:row>
      <xdr:rowOff>11075</xdr:rowOff>
    </xdr:from>
    <xdr:to>
      <xdr:col>8</xdr:col>
      <xdr:colOff>174994</xdr:colOff>
      <xdr:row>23</xdr:row>
      <xdr:rowOff>118287</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188284</xdr:colOff>
      <xdr:row>9</xdr:row>
      <xdr:rowOff>11076</xdr:rowOff>
    </xdr:from>
    <xdr:to>
      <xdr:col>17</xdr:col>
      <xdr:colOff>341922</xdr:colOff>
      <xdr:row>23</xdr:row>
      <xdr:rowOff>99681</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132907</xdr:rowOff>
    </xdr:from>
    <xdr:to>
      <xdr:col>8</xdr:col>
      <xdr:colOff>307901</xdr:colOff>
      <xdr:row>39</xdr:row>
      <xdr:rowOff>107212</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303867</xdr:colOff>
      <xdr:row>4</xdr:row>
      <xdr:rowOff>124104</xdr:rowOff>
    </xdr:from>
    <xdr:to>
      <xdr:col>20</xdr:col>
      <xdr:colOff>305198</xdr:colOff>
      <xdr:row>15</xdr:row>
      <xdr:rowOff>97693</xdr:rowOff>
    </xdr:to>
    <mc:AlternateContent xmlns:mc="http://schemas.openxmlformats.org/markup-compatibility/2006" xmlns:a14="http://schemas.microsoft.com/office/drawing/2010/main">
      <mc:Choice Requires="a14">
        <xdr:graphicFrame macro="">
          <xdr:nvGraphicFramePr>
            <xdr:cNvPr id="65" name="DAY 2"/>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mlns="">
        <xdr:sp macro="" textlink="">
          <xdr:nvSpPr>
            <xdr:cNvPr id="0" name=""/>
            <xdr:cNvSpPr>
              <a:spLocks noTextEdit="1"/>
            </xdr:cNvSpPr>
          </xdr:nvSpPr>
          <xdr:spPr>
            <a:xfrm>
              <a:off x="10729175" y="906981"/>
              <a:ext cx="1841091" cy="212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366347</xdr:colOff>
      <xdr:row>23</xdr:row>
      <xdr:rowOff>73270</xdr:rowOff>
    </xdr:from>
    <xdr:to>
      <xdr:col>13</xdr:col>
      <xdr:colOff>24423</xdr:colOff>
      <xdr:row>39</xdr:row>
      <xdr:rowOff>146538</xdr:rowOff>
    </xdr:to>
    <mc:AlternateContent xmlns:mc="http://schemas.openxmlformats.org/markup-compatibility/2006" xmlns:a14="http://schemas.microsoft.com/office/drawing/2010/main">
      <mc:Choice Requires="a14">
        <xdr:graphicFrame macro="">
          <xdr:nvGraphicFramePr>
            <xdr:cNvPr id="66" name="WORKOUT TYPE 3"/>
            <xdr:cNvGraphicFramePr/>
          </xdr:nvGraphicFramePr>
          <xdr:xfrm>
            <a:off x="0" y="0"/>
            <a:ext cx="0" cy="0"/>
          </xdr:xfrm>
          <a:graphic>
            <a:graphicData uri="http://schemas.microsoft.com/office/drawing/2010/slicer">
              <sle:slicer xmlns:sle="http://schemas.microsoft.com/office/drawing/2010/slicer" name="WORKOUT TYPE 3"/>
            </a:graphicData>
          </a:graphic>
        </xdr:graphicFrame>
      </mc:Choice>
      <mc:Fallback xmlns="">
        <xdr:sp macro="" textlink="">
          <xdr:nvSpPr>
            <xdr:cNvPr id="0" name=""/>
            <xdr:cNvSpPr>
              <a:spLocks noTextEdit="1"/>
            </xdr:cNvSpPr>
          </xdr:nvSpPr>
          <xdr:spPr>
            <a:xfrm>
              <a:off x="5272374" y="4574811"/>
              <a:ext cx="2724344" cy="3204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73270</xdr:colOff>
      <xdr:row>23</xdr:row>
      <xdr:rowOff>122116</xdr:rowOff>
    </xdr:from>
    <xdr:to>
      <xdr:col>17</xdr:col>
      <xdr:colOff>268654</xdr:colOff>
      <xdr:row>39</xdr:row>
      <xdr:rowOff>170962</xdr:rowOff>
    </xdr:to>
    <mc:AlternateContent xmlns:mc="http://schemas.openxmlformats.org/markup-compatibility/2006" xmlns:a14="http://schemas.microsoft.com/office/drawing/2010/main">
      <mc:Choice Requires="a14">
        <xdr:graphicFrame macro="">
          <xdr:nvGraphicFramePr>
            <xdr:cNvPr id="67" name="CALORIES BURNT  2"/>
            <xdr:cNvGraphicFramePr/>
          </xdr:nvGraphicFramePr>
          <xdr:xfrm>
            <a:off x="0" y="0"/>
            <a:ext cx="0" cy="0"/>
          </xdr:xfrm>
          <a:graphic>
            <a:graphicData uri="http://schemas.microsoft.com/office/drawing/2010/slicer">
              <sle:slicer xmlns:sle="http://schemas.microsoft.com/office/drawing/2010/slicer" name="CALORIES BURNT  2"/>
            </a:graphicData>
          </a:graphic>
        </xdr:graphicFrame>
      </mc:Choice>
      <mc:Fallback xmlns="">
        <xdr:sp macro="" textlink="">
          <xdr:nvSpPr>
            <xdr:cNvPr id="0" name=""/>
            <xdr:cNvSpPr>
              <a:spLocks noTextEdit="1"/>
            </xdr:cNvSpPr>
          </xdr:nvSpPr>
          <xdr:spPr>
            <a:xfrm>
              <a:off x="8045565" y="4623657"/>
              <a:ext cx="2648397" cy="3180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328291</xdr:colOff>
      <xdr:row>15</xdr:row>
      <xdr:rowOff>77531</xdr:rowOff>
    </xdr:from>
    <xdr:to>
      <xdr:col>20</xdr:col>
      <xdr:colOff>329620</xdr:colOff>
      <xdr:row>40</xdr:row>
      <xdr:rowOff>48847</xdr:rowOff>
    </xdr:to>
    <mc:AlternateContent xmlns:mc="http://schemas.openxmlformats.org/markup-compatibility/2006" xmlns:a14="http://schemas.microsoft.com/office/drawing/2010/main">
      <mc:Choice Requires="a14">
        <xdr:graphicFrame macro="">
          <xdr:nvGraphicFramePr>
            <xdr:cNvPr id="68" name="SLEEP(hrs) 1"/>
            <xdr:cNvGraphicFramePr/>
          </xdr:nvGraphicFramePr>
          <xdr:xfrm>
            <a:off x="0" y="0"/>
            <a:ext cx="0" cy="0"/>
          </xdr:xfrm>
          <a:graphic>
            <a:graphicData uri="http://schemas.microsoft.com/office/drawing/2010/slicer">
              <sle:slicer xmlns:sle="http://schemas.microsoft.com/office/drawing/2010/slicer" name="SLEEP(hrs) 1"/>
            </a:graphicData>
          </a:graphic>
        </xdr:graphicFrame>
      </mc:Choice>
      <mc:Fallback xmlns="">
        <xdr:sp macro="" textlink="">
          <xdr:nvSpPr>
            <xdr:cNvPr id="0" name=""/>
            <xdr:cNvSpPr>
              <a:spLocks noTextEdit="1"/>
            </xdr:cNvSpPr>
          </xdr:nvSpPr>
          <xdr:spPr>
            <a:xfrm>
              <a:off x="10753599" y="3013319"/>
              <a:ext cx="1841089" cy="4864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dmin" refreshedDate="45836.846663310185" createdVersion="5" refreshedVersion="5" minRefreshableVersion="3" recordCount="59">
  <cacheSource type="worksheet">
    <worksheetSource name="Table1"/>
  </cacheSource>
  <cacheFields count="16">
    <cacheField name="NAME" numFmtId="0">
      <sharedItems count="58">
        <s v="AADHI"/>
        <s v="AARAV"/>
        <s v="AISHU"/>
        <s v="AMAN"/>
        <s v="ANANYA"/>
        <s v="ANU"/>
        <s v="ARCHANA"/>
        <s v="ARYAN"/>
        <s v="BANU"/>
        <s v="BHUVANA"/>
        <s v="CHARU"/>
        <s v="DEV"/>
        <s v="DHIVA"/>
        <s v="DURAI"/>
        <s v="DUSTIN"/>
        <s v="HARSH"/>
        <s v="ISHIKA"/>
        <s v="KABIR"/>
        <s v="KARAN"/>
        <s v="KARTHICK"/>
        <s v="KEERTHI"/>
        <s v="KOMATHI"/>
        <s v="LAVANYA"/>
        <s v="LUCAS"/>
        <s v="MANAV"/>
        <s v="MANO"/>
        <s v="MEERA"/>
        <s v="MIKE"/>
        <s v="NANCY"/>
        <s v="NARESH"/>
        <s v="NILA"/>
        <s v="NISHA"/>
        <s v="NITHIYA"/>
        <s v="POOJA"/>
        <s v="PRABHA"/>
        <s v="PRAKASH"/>
        <s v="PRATHIKSHA"/>
        <s v="PREETHI"/>
        <s v="PURSHOTH"/>
        <s v="RAJ"/>
        <s v="RIYA"/>
        <s v="ROHAN"/>
        <s v="SANJAY"/>
        <s v="SESHA"/>
        <s v="SIDDHARTH"/>
        <s v="SIVA"/>
        <s v="SRIRAM"/>
        <s v="STEEVE"/>
        <s v="SURYA"/>
        <s v="TANYA"/>
        <s v="TIPPU"/>
        <s v="VEER"/>
        <s v="VICKY"/>
        <s v="VIJAY"/>
        <s v="WILSON"/>
        <s v="YASH"/>
        <s v="YASHNA"/>
        <s v="YUVI"/>
      </sharedItems>
    </cacheField>
    <cacheField name="DATE" numFmtId="14">
      <sharedItems containsSemiMixedTypes="0" containsNonDate="0" containsDate="1" containsString="0" minDate="2025-06-25T00:00:00" maxDate="2025-07-01T00:00:00"/>
    </cacheField>
    <cacheField name="DAY" numFmtId="0">
      <sharedItems count="6">
        <s v="Wednesday"/>
        <s v="Thursday"/>
        <s v="Friday"/>
        <s v="Saturday"/>
        <s v="Sunday"/>
        <s v="Monday"/>
      </sharedItems>
    </cacheField>
    <cacheField name="STEPS" numFmtId="0">
      <sharedItems containsSemiMixedTypes="0" containsString="0" containsNumber="1" containsInteger="1" minValue="1002" maxValue="14570" count="48">
        <n v="10000"/>
        <n v="12500"/>
        <n v="5000"/>
        <n v="7000"/>
        <n v="10260"/>
        <n v="3700"/>
        <n v="12600"/>
        <n v="8900"/>
        <n v="6600"/>
        <n v="5500"/>
        <n v="11240"/>
        <n v="4572"/>
        <n v="13421"/>
        <n v="4500"/>
        <n v="4571"/>
        <n v="6000"/>
        <n v="12400"/>
        <n v="5900"/>
        <n v="9700"/>
        <n v="12100"/>
        <n v="9300"/>
        <n v="8500"/>
        <n v="12200"/>
        <n v="9200"/>
        <n v="7500"/>
        <n v="4600"/>
        <n v="5400"/>
        <n v="4200"/>
        <n v="11900"/>
        <n v="8800"/>
        <n v="11000"/>
        <n v="6800"/>
        <n v="14570"/>
        <n v="5862"/>
        <n v="1111"/>
        <n v="1002"/>
        <n v="14000"/>
        <n v="7851"/>
        <n v="13200"/>
        <n v="7744"/>
        <n v="11411"/>
        <n v="2475"/>
        <n v="5781"/>
        <n v="14320"/>
        <n v="6455"/>
        <n v="5478"/>
        <n v="10250"/>
        <n v="9000"/>
      </sharedItems>
    </cacheField>
    <cacheField name="MOOD" numFmtId="0">
      <sharedItems count="4">
        <s v="HAPPY"/>
        <s v="ENERGETIC"/>
        <s v="TIRED"/>
        <s v="LAZY"/>
      </sharedItems>
    </cacheField>
    <cacheField name="WORKOUT TYPE" numFmtId="0">
      <sharedItems count="11">
        <s v="RUNNING"/>
        <s v="WALKING"/>
        <s v="YOGA"/>
        <s v="CYCLING"/>
        <s v="TREAD MILL"/>
        <s v="STRETCHING"/>
        <s v="GYM"/>
        <s v="WEIGHT LIFTING"/>
        <s v="SQUADS"/>
        <s v="PUSHUPS"/>
        <s v="TREAD MILL  "/>
      </sharedItems>
    </cacheField>
    <cacheField name="CALORIES BURNT/MIN" numFmtId="0">
      <sharedItems containsSemiMixedTypes="0" containsString="0" containsNumber="1" containsInteger="1" minValue="4" maxValue="10"/>
    </cacheField>
    <cacheField name="DURATION" numFmtId="0">
      <sharedItems containsSemiMixedTypes="0" containsString="0" containsNumber="1" containsInteger="1" minValue="15" maxValue="72"/>
    </cacheField>
    <cacheField name="CALORIES BURNT " numFmtId="0">
      <sharedItems containsSemiMixedTypes="0" containsString="0" containsNumber="1" containsInteger="1" minValue="90" maxValue="720" count="37">
        <n v="320"/>
        <n v="350"/>
        <n v="480"/>
        <n v="180"/>
        <n v="140"/>
        <n v="288"/>
        <n v="450"/>
        <n v="330"/>
        <n v="325"/>
        <n v="125"/>
        <n v="225"/>
        <n v="200"/>
        <n v="90"/>
        <n v="250"/>
        <n v="300"/>
        <n v="270"/>
        <n v="160"/>
        <n v="720"/>
        <n v="440"/>
        <n v="390"/>
        <n v="280"/>
        <n v="175"/>
        <n v="500"/>
        <n v="360"/>
        <n v="150"/>
        <n v="333"/>
        <n v="100"/>
        <n v="405"/>
        <n v="700"/>
        <n v="384"/>
        <n v="520"/>
        <n v="400"/>
        <n v="420"/>
        <n v="120"/>
        <n v="385"/>
        <n v="260"/>
        <n v="585"/>
      </sharedItems>
    </cacheField>
    <cacheField name="SLEEP(hrs)" numFmtId="164">
      <sharedItems containsSemiMixedTypes="0" containsString="0" containsNumber="1" minValue="1.6" maxValue="8"/>
    </cacheField>
    <cacheField name="WATER(L)" numFmtId="164">
      <sharedItems containsSemiMixedTypes="0" containsString="0" containsNumber="1" minValue="1" maxValue="2.8"/>
    </cacheField>
    <cacheField name="WEIGHT(Kg)" numFmtId="0">
      <sharedItems containsSemiMixedTypes="0" containsString="0" containsNumber="1" containsInteger="1" minValue="45" maxValue="110" count="41">
        <n v="52"/>
        <n v="82"/>
        <n v="56"/>
        <n v="79"/>
        <n v="63"/>
        <n v="74"/>
        <n v="45"/>
        <n v="48"/>
        <n v="85"/>
        <n v="60"/>
        <n v="75"/>
        <n v="50"/>
        <n v="92"/>
        <n v="95"/>
        <n v="53"/>
        <n v="55"/>
        <n v="88"/>
        <n v="65"/>
        <n v="61"/>
        <n v="91"/>
        <n v="57"/>
        <n v="51"/>
        <n v="59"/>
        <n v="93"/>
        <n v="84"/>
        <n v="97"/>
        <n v="54"/>
        <n v="80"/>
        <n v="46"/>
        <n v="72"/>
        <n v="49"/>
        <n v="105"/>
        <n v="58"/>
        <n v="90"/>
        <n v="110"/>
        <n v="70"/>
        <n v="106"/>
        <n v="62"/>
        <n v="47"/>
        <n v="98"/>
        <n v="66"/>
      </sharedItems>
    </cacheField>
    <cacheField name="HEIGHT(Cm)" numFmtId="0">
      <sharedItems containsSemiMixedTypes="0" containsString="0" containsNumber="1" containsInteger="1" minValue="110" maxValue="185" count="36">
        <n v="155"/>
        <n v="175"/>
        <n v="160"/>
        <n v="172"/>
        <n v="132"/>
        <n v="158"/>
        <n v="180"/>
        <n v="150"/>
        <n v="178"/>
        <n v="162"/>
        <n v="170"/>
        <n v="156"/>
        <n v="152"/>
        <n v="157"/>
        <n v="161"/>
        <n v="163"/>
        <n v="164"/>
        <n v="165"/>
        <n v="166"/>
        <n v="167"/>
        <n v="168"/>
        <n v="169"/>
        <n v="171"/>
        <n v="140"/>
        <n v="173"/>
        <n v="174"/>
        <n v="176"/>
        <n v="177"/>
        <n v="179"/>
        <n v="181"/>
        <n v="182"/>
        <n v="183"/>
        <n v="184"/>
        <n v="185"/>
        <n v="159"/>
        <n v="110"/>
      </sharedItems>
    </cacheField>
    <cacheField name="BMI" numFmtId="0">
      <sharedItems containsSemiMixedTypes="0" containsString="0" containsNumber="1" containsInteger="1" minValue="15" maxValue="70"/>
    </cacheField>
    <cacheField name="CATEGORY" numFmtId="0">
      <sharedItems/>
    </cacheField>
    <cacheField name="STATUS" numFmtId="0">
      <sharedItems count="2">
        <s v="ACTIVE"/>
        <s v="IN ACTIVE"/>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837.376252662034" createdVersion="5" refreshedVersion="5" minRefreshableVersion="3" recordCount="59">
  <cacheSource type="worksheet">
    <worksheetSource name="Table1[[DATE]:[WATER(L)]]"/>
  </cacheSource>
  <cacheFields count="10">
    <cacheField name="DATE" numFmtId="14">
      <sharedItems containsSemiMixedTypes="0" containsNonDate="0" containsDate="1" containsString="0" minDate="2025-06-25T00:00:00" maxDate="2025-07-01T00:00:00"/>
    </cacheField>
    <cacheField name="DAY" numFmtId="0">
      <sharedItems count="6">
        <s v="Wednesday"/>
        <s v="Thursday"/>
        <s v="Sunday"/>
        <s v="Friday"/>
        <s v="Saturday"/>
        <s v="Monday"/>
      </sharedItems>
    </cacheField>
    <cacheField name="STEPS" numFmtId="0">
      <sharedItems containsSemiMixedTypes="0" containsString="0" containsNumber="1" containsInteger="1" minValue="1002" maxValue="14570" count="48">
        <n v="10000"/>
        <n v="12500"/>
        <n v="5000"/>
        <n v="7000"/>
        <n v="10260"/>
        <n v="3700"/>
        <n v="12600"/>
        <n v="8900"/>
        <n v="6600"/>
        <n v="5500"/>
        <n v="11240"/>
        <n v="4572"/>
        <n v="13421"/>
        <n v="4500"/>
        <n v="6000"/>
        <n v="4571"/>
        <n v="12400"/>
        <n v="5900"/>
        <n v="9700"/>
        <n v="12100"/>
        <n v="9300"/>
        <n v="8500"/>
        <n v="12200"/>
        <n v="9200"/>
        <n v="7500"/>
        <n v="4600"/>
        <n v="5400"/>
        <n v="4200"/>
        <n v="11900"/>
        <n v="8800"/>
        <n v="11000"/>
        <n v="6800"/>
        <n v="14570"/>
        <n v="5862"/>
        <n v="1111"/>
        <n v="1002"/>
        <n v="14000"/>
        <n v="7851"/>
        <n v="13200"/>
        <n v="7744"/>
        <n v="11411"/>
        <n v="2475"/>
        <n v="5781"/>
        <n v="14320"/>
        <n v="6455"/>
        <n v="5478"/>
        <n v="10250"/>
        <n v="9000"/>
      </sharedItems>
    </cacheField>
    <cacheField name="MOOD" numFmtId="0">
      <sharedItems/>
    </cacheField>
    <cacheField name="WORKOUT TYPE" numFmtId="0">
      <sharedItems count="11">
        <s v="RUNNING"/>
        <s v="WALKING"/>
        <s v="YOGA"/>
        <s v="CYCLING"/>
        <s v="TREAD MILL"/>
        <s v="STRETCHING"/>
        <s v="GYM"/>
        <s v="WEIGHT LIFTING"/>
        <s v="SQUADS"/>
        <s v="PUSHUPS"/>
        <s v="TREAD MILL  "/>
      </sharedItems>
    </cacheField>
    <cacheField name="CALORIES BURNT/MIN" numFmtId="0">
      <sharedItems containsSemiMixedTypes="0" containsString="0" containsNumber="1" containsInteger="1" minValue="4" maxValue="10"/>
    </cacheField>
    <cacheField name="DURATION" numFmtId="0">
      <sharedItems containsSemiMixedTypes="0" containsString="0" containsNumber="1" containsInteger="1" minValue="15" maxValue="72"/>
    </cacheField>
    <cacheField name="CALORIES BURNT " numFmtId="0">
      <sharedItems containsSemiMixedTypes="0" containsString="0" containsNumber="1" containsInteger="1" minValue="90" maxValue="720" count="37">
        <n v="320"/>
        <n v="350"/>
        <n v="480"/>
        <n v="180"/>
        <n v="140"/>
        <n v="288"/>
        <n v="450"/>
        <n v="330"/>
        <n v="325"/>
        <n v="125"/>
        <n v="225"/>
        <n v="200"/>
        <n v="90"/>
        <n v="250"/>
        <n v="300"/>
        <n v="100"/>
        <n v="270"/>
        <n v="160"/>
        <n v="720"/>
        <n v="440"/>
        <n v="390"/>
        <n v="280"/>
        <n v="175"/>
        <n v="500"/>
        <n v="360"/>
        <n v="150"/>
        <n v="333"/>
        <n v="405"/>
        <n v="700"/>
        <n v="384"/>
        <n v="520"/>
        <n v="400"/>
        <n v="420"/>
        <n v="120"/>
        <n v="385"/>
        <n v="260"/>
        <n v="585"/>
      </sharedItems>
    </cacheField>
    <cacheField name="SLEEP(hrs)" numFmtId="164">
      <sharedItems containsSemiMixedTypes="0" containsString="0" containsNumber="1" minValue="1.6" maxValue="8" count="28">
        <n v="6.5"/>
        <n v="7.2"/>
        <n v="6"/>
        <n v="7"/>
        <n v="6.8"/>
        <n v="7.4"/>
        <n v="5.9"/>
        <n v="6.7"/>
        <n v="7.1"/>
        <n v="6.3"/>
        <n v="5.4"/>
        <n v="6.1"/>
        <n v="7.3"/>
        <n v="5.5"/>
        <n v="6.6"/>
        <n v="3.5"/>
        <n v="6.4"/>
        <n v="5"/>
        <n v="2.5"/>
        <n v="4.5"/>
        <n v="7.6"/>
        <n v="4.5999999999999996"/>
        <n v="4.2"/>
        <n v="1.9"/>
        <n v="4"/>
        <n v="1.6"/>
        <n v="8"/>
        <n v="3.9"/>
      </sharedItems>
    </cacheField>
    <cacheField name="WATER(L)" numFmtId="164">
      <sharedItems containsSemiMixedTypes="0" containsString="0" containsNumber="1" minValue="1" maxValue="2.8"/>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5837.384116782407" createdVersion="5" refreshedVersion="5" minRefreshableVersion="3" recordCount="59">
  <cacheSource type="worksheet">
    <worksheetSource name="Table1[[DATE]:[STATUS]]"/>
  </cacheSource>
  <cacheFields count="15">
    <cacheField name="DATE" numFmtId="14">
      <sharedItems containsSemiMixedTypes="0" containsNonDate="0" containsDate="1" containsString="0" minDate="2025-06-25T00:00:00" maxDate="2025-07-01T00:00:00"/>
    </cacheField>
    <cacheField name="DAY" numFmtId="0">
      <sharedItems count="6">
        <s v="Wednesday"/>
        <s v="Thursday"/>
        <s v="Sunday"/>
        <s v="Friday"/>
        <s v="Saturday"/>
        <s v="Monday"/>
      </sharedItems>
    </cacheField>
    <cacheField name="STEPS" numFmtId="0">
      <sharedItems containsSemiMixedTypes="0" containsString="0" containsNumber="1" containsInteger="1" minValue="1002" maxValue="14570"/>
    </cacheField>
    <cacheField name="MOOD" numFmtId="0">
      <sharedItems/>
    </cacheField>
    <cacheField name="WORKOUT TYPE" numFmtId="0">
      <sharedItems count="11">
        <s v="RUNNING"/>
        <s v="WALKING"/>
        <s v="YOGA"/>
        <s v="CYCLING"/>
        <s v="TREAD MILL"/>
        <s v="STRETCHING"/>
        <s v="GYM"/>
        <s v="WEIGHT LIFTING"/>
        <s v="SQUADS"/>
        <s v="PUSHUPS"/>
        <s v="TREAD MILL  "/>
      </sharedItems>
    </cacheField>
    <cacheField name="CALORIES BURNT/MIN" numFmtId="0">
      <sharedItems containsSemiMixedTypes="0" containsString="0" containsNumber="1" containsInteger="1" minValue="4" maxValue="10"/>
    </cacheField>
    <cacheField name="DURATION" numFmtId="0">
      <sharedItems containsSemiMixedTypes="0" containsString="0" containsNumber="1" containsInteger="1" minValue="15" maxValue="72"/>
    </cacheField>
    <cacheField name="CALORIES BURNT " numFmtId="0">
      <sharedItems containsSemiMixedTypes="0" containsString="0" containsNumber="1" containsInteger="1" minValue="90" maxValue="720" count="37">
        <n v="320"/>
        <n v="350"/>
        <n v="480"/>
        <n v="180"/>
        <n v="140"/>
        <n v="288"/>
        <n v="450"/>
        <n v="330"/>
        <n v="325"/>
        <n v="125"/>
        <n v="225"/>
        <n v="200"/>
        <n v="90"/>
        <n v="250"/>
        <n v="300"/>
        <n v="100"/>
        <n v="270"/>
        <n v="160"/>
        <n v="720"/>
        <n v="440"/>
        <n v="390"/>
        <n v="280"/>
        <n v="175"/>
        <n v="500"/>
        <n v="360"/>
        <n v="150"/>
        <n v="333"/>
        <n v="405"/>
        <n v="700"/>
        <n v="384"/>
        <n v="520"/>
        <n v="400"/>
        <n v="420"/>
        <n v="120"/>
        <n v="385"/>
        <n v="260"/>
        <n v="585"/>
      </sharedItems>
    </cacheField>
    <cacheField name="SLEEP(hrs)" numFmtId="164">
      <sharedItems containsSemiMixedTypes="0" containsString="0" containsNumber="1" minValue="1.6" maxValue="8" count="28">
        <n v="6.5"/>
        <n v="7.2"/>
        <n v="6"/>
        <n v="7"/>
        <n v="6.8"/>
        <n v="7.4"/>
        <n v="5.9"/>
        <n v="6.7"/>
        <n v="7.1"/>
        <n v="6.3"/>
        <n v="5.4"/>
        <n v="6.1"/>
        <n v="7.3"/>
        <n v="5.5"/>
        <n v="6.6"/>
        <n v="3.5"/>
        <n v="6.4"/>
        <n v="5"/>
        <n v="2.5"/>
        <n v="4.5"/>
        <n v="7.6"/>
        <n v="4.5999999999999996"/>
        <n v="4.2"/>
        <n v="1.9"/>
        <n v="4"/>
        <n v="1.6"/>
        <n v="8"/>
        <n v="3.9"/>
      </sharedItems>
    </cacheField>
    <cacheField name="WATER(L)" numFmtId="164">
      <sharedItems containsSemiMixedTypes="0" containsString="0" containsNumber="1" minValue="1" maxValue="2.8"/>
    </cacheField>
    <cacheField name="WEIGHT(Kg)" numFmtId="0">
      <sharedItems containsSemiMixedTypes="0" containsString="0" containsNumber="1" containsInteger="1" minValue="45" maxValue="110"/>
    </cacheField>
    <cacheField name="HEIGHT(Cm)" numFmtId="0">
      <sharedItems containsSemiMixedTypes="0" containsString="0" containsNumber="1" containsInteger="1" minValue="110" maxValue="185"/>
    </cacheField>
    <cacheField name="BMI" numFmtId="0">
      <sharedItems containsSemiMixedTypes="0" containsString="0" containsNumber="1" containsInteger="1" minValue="15" maxValue="70"/>
    </cacheField>
    <cacheField name="CATEGORY" numFmtId="0">
      <sharedItems/>
    </cacheField>
    <cacheField name="STATUS" numFmtId="0">
      <sharedItems count="2">
        <s v="ACTIVE"/>
        <s v="IN ACTIVE"/>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59">
  <r>
    <x v="0"/>
    <d v="2025-06-25T00:00:00"/>
    <x v="0"/>
    <x v="0"/>
    <x v="0"/>
    <x v="0"/>
    <n v="8"/>
    <n v="40"/>
    <x v="0"/>
    <n v="6.5"/>
    <n v="2"/>
    <x v="0"/>
    <x v="0"/>
    <n v="22"/>
    <s v="NORMAL"/>
    <x v="0"/>
  </r>
  <r>
    <x v="1"/>
    <d v="2025-06-25T00:00:00"/>
    <x v="0"/>
    <x v="1"/>
    <x v="1"/>
    <x v="1"/>
    <n v="7"/>
    <n v="50"/>
    <x v="1"/>
    <n v="7.2"/>
    <n v="2.5"/>
    <x v="1"/>
    <x v="1"/>
    <n v="27"/>
    <s v="OVERWEIGHT"/>
    <x v="0"/>
  </r>
  <r>
    <x v="2"/>
    <d v="2025-06-25T00:00:00"/>
    <x v="0"/>
    <x v="2"/>
    <x v="2"/>
    <x v="2"/>
    <n v="8"/>
    <n v="60"/>
    <x v="2"/>
    <n v="6"/>
    <n v="1.8"/>
    <x v="2"/>
    <x v="2"/>
    <n v="22"/>
    <s v="NORMAL"/>
    <x v="1"/>
  </r>
  <r>
    <x v="3"/>
    <d v="2025-06-25T00:00:00"/>
    <x v="0"/>
    <x v="3"/>
    <x v="3"/>
    <x v="3"/>
    <n v="6"/>
    <n v="30"/>
    <x v="3"/>
    <n v="7"/>
    <n v="2.2999999999999998"/>
    <x v="3"/>
    <x v="1"/>
    <n v="26"/>
    <s v="OVERWEIGHT"/>
    <x v="0"/>
  </r>
  <r>
    <x v="4"/>
    <d v="2025-06-25T00:00:00"/>
    <x v="0"/>
    <x v="4"/>
    <x v="0"/>
    <x v="4"/>
    <n v="7"/>
    <n v="20"/>
    <x v="4"/>
    <n v="6.8"/>
    <n v="2.1"/>
    <x v="4"/>
    <x v="3"/>
    <n v="21"/>
    <s v="NORMAL"/>
    <x v="0"/>
  </r>
  <r>
    <x v="5"/>
    <d v="2025-06-25T00:00:00"/>
    <x v="0"/>
    <x v="5"/>
    <x v="3"/>
    <x v="5"/>
    <n v="6"/>
    <n v="48"/>
    <x v="5"/>
    <n v="7.2"/>
    <n v="2.2000000000000002"/>
    <x v="5"/>
    <x v="4"/>
    <n v="42"/>
    <s v="OBESE"/>
    <x v="1"/>
  </r>
  <r>
    <x v="6"/>
    <d v="2025-06-25T00:00:00"/>
    <x v="0"/>
    <x v="6"/>
    <x v="1"/>
    <x v="6"/>
    <n v="10"/>
    <n v="45"/>
    <x v="6"/>
    <n v="7.4"/>
    <n v="2.7"/>
    <x v="6"/>
    <x v="5"/>
    <n v="18"/>
    <s v="NORMAL"/>
    <x v="0"/>
  </r>
  <r>
    <x v="7"/>
    <d v="2025-06-25T00:00:00"/>
    <x v="0"/>
    <x v="7"/>
    <x v="2"/>
    <x v="7"/>
    <n v="6"/>
    <n v="55"/>
    <x v="7"/>
    <n v="5.9"/>
    <n v="1.9"/>
    <x v="7"/>
    <x v="6"/>
    <n v="15"/>
    <s v="UNDERWEIGHT"/>
    <x v="0"/>
  </r>
  <r>
    <x v="8"/>
    <d v="2025-06-25T00:00:00"/>
    <x v="0"/>
    <x v="3"/>
    <x v="3"/>
    <x v="8"/>
    <n v="5"/>
    <n v="65"/>
    <x v="8"/>
    <n v="6.7"/>
    <n v="2.4"/>
    <x v="8"/>
    <x v="7"/>
    <n v="38"/>
    <s v="OBESE"/>
    <x v="0"/>
  </r>
  <r>
    <x v="9"/>
    <d v="2025-06-26T00:00:00"/>
    <x v="1"/>
    <x v="8"/>
    <x v="0"/>
    <x v="5"/>
    <n v="5"/>
    <n v="25"/>
    <x v="9"/>
    <n v="6.8"/>
    <n v="2"/>
    <x v="9"/>
    <x v="8"/>
    <n v="19"/>
    <s v="NORMAL"/>
    <x v="1"/>
  </r>
  <r>
    <x v="10"/>
    <d v="2025-06-26T00:00:00"/>
    <x v="1"/>
    <x v="9"/>
    <x v="1"/>
    <x v="9"/>
    <n v="9"/>
    <n v="25"/>
    <x v="10"/>
    <n v="6.5"/>
    <n v="1.2"/>
    <x v="10"/>
    <x v="9"/>
    <n v="29"/>
    <s v="OVERWEIGHT"/>
    <x v="1"/>
  </r>
  <r>
    <x v="11"/>
    <d v="2025-06-26T00:00:00"/>
    <x v="1"/>
    <x v="10"/>
    <x v="2"/>
    <x v="4"/>
    <n v="7"/>
    <n v="50"/>
    <x v="1"/>
    <n v="7.1"/>
    <n v="2.2000000000000002"/>
    <x v="11"/>
    <x v="10"/>
    <n v="17"/>
    <s v="UNDERWEIGHT"/>
    <x v="0"/>
  </r>
  <r>
    <x v="12"/>
    <d v="2025-06-26T00:00:00"/>
    <x v="1"/>
    <x v="11"/>
    <x v="3"/>
    <x v="6"/>
    <n v="10"/>
    <n v="20"/>
    <x v="11"/>
    <n v="6.3"/>
    <n v="2.6"/>
    <x v="12"/>
    <x v="11"/>
    <n v="38"/>
    <s v="OBESE"/>
    <x v="1"/>
  </r>
  <r>
    <x v="13"/>
    <d v="2025-06-26T00:00:00"/>
    <x v="1"/>
    <x v="2"/>
    <x v="3"/>
    <x v="3"/>
    <n v="6"/>
    <n v="48"/>
    <x v="5"/>
    <n v="5.4"/>
    <n v="1.5"/>
    <x v="13"/>
    <x v="2"/>
    <n v="37"/>
    <s v="OBESE"/>
    <x v="1"/>
  </r>
  <r>
    <x v="14"/>
    <d v="2025-06-26T00:00:00"/>
    <x v="1"/>
    <x v="3"/>
    <x v="0"/>
    <x v="7"/>
    <n v="6"/>
    <n v="15"/>
    <x v="12"/>
    <n v="5.4"/>
    <n v="1.7"/>
    <x v="14"/>
    <x v="7"/>
    <n v="24"/>
    <s v="NORMAL"/>
    <x v="0"/>
  </r>
  <r>
    <x v="15"/>
    <d v="2025-06-26T00:00:00"/>
    <x v="1"/>
    <x v="12"/>
    <x v="1"/>
    <x v="8"/>
    <n v="5"/>
    <n v="50"/>
    <x v="13"/>
    <n v="6.1"/>
    <n v="2.5"/>
    <x v="3"/>
    <x v="12"/>
    <n v="34"/>
    <s v="OBESE"/>
    <x v="0"/>
  </r>
  <r>
    <x v="16"/>
    <d v="2025-06-26T00:00:00"/>
    <x v="1"/>
    <x v="13"/>
    <x v="2"/>
    <x v="5"/>
    <n v="5"/>
    <n v="60"/>
    <x v="14"/>
    <n v="7.3"/>
    <n v="2.1"/>
    <x v="15"/>
    <x v="0"/>
    <n v="23"/>
    <s v="NORMAL"/>
    <x v="1"/>
  </r>
  <r>
    <x v="17"/>
    <d v="2025-06-26T00:00:00"/>
    <x v="1"/>
    <x v="14"/>
    <x v="3"/>
    <x v="9"/>
    <n v="9"/>
    <n v="30"/>
    <x v="15"/>
    <n v="6.6"/>
    <n v="1.8"/>
    <x v="16"/>
    <x v="13"/>
    <n v="36"/>
    <s v="OBESE"/>
    <x v="1"/>
  </r>
  <r>
    <x v="18"/>
    <d v="2025-06-26T00:00:00"/>
    <x v="1"/>
    <x v="15"/>
    <x v="0"/>
    <x v="0"/>
    <n v="8"/>
    <n v="20"/>
    <x v="16"/>
    <n v="7.2"/>
    <n v="2.2000000000000002"/>
    <x v="7"/>
    <x v="2"/>
    <n v="19"/>
    <s v="NORMAL"/>
    <x v="1"/>
  </r>
  <r>
    <x v="19"/>
    <d v="2025-06-27T00:00:00"/>
    <x v="2"/>
    <x v="16"/>
    <x v="1"/>
    <x v="6"/>
    <n v="10"/>
    <n v="72"/>
    <x v="17"/>
    <n v="6"/>
    <n v="2"/>
    <x v="17"/>
    <x v="14"/>
    <n v="25"/>
    <s v="OVERWEIGHT"/>
    <x v="0"/>
  </r>
  <r>
    <x v="20"/>
    <d v="2025-06-27T00:00:00"/>
    <x v="2"/>
    <x v="0"/>
    <x v="2"/>
    <x v="2"/>
    <n v="8"/>
    <n v="55"/>
    <x v="18"/>
    <n v="6.7"/>
    <n v="2.6"/>
    <x v="18"/>
    <x v="9"/>
    <n v="23"/>
    <s v="NORMAL"/>
    <x v="0"/>
  </r>
  <r>
    <x v="21"/>
    <d v="2025-06-27T00:00:00"/>
    <x v="2"/>
    <x v="17"/>
    <x v="3"/>
    <x v="3"/>
    <n v="6"/>
    <n v="65"/>
    <x v="19"/>
    <n v="5.5"/>
    <n v="2.7"/>
    <x v="19"/>
    <x v="15"/>
    <n v="34"/>
    <s v="OBESE"/>
    <x v="1"/>
  </r>
  <r>
    <x v="22"/>
    <d v="2025-06-27T00:00:00"/>
    <x v="2"/>
    <x v="18"/>
    <x v="0"/>
    <x v="0"/>
    <n v="8"/>
    <n v="35"/>
    <x v="20"/>
    <n v="7.1"/>
    <n v="1.3"/>
    <x v="20"/>
    <x v="16"/>
    <n v="21"/>
    <s v="NORMAL"/>
    <x v="0"/>
  </r>
  <r>
    <x v="23"/>
    <d v="2025-06-27T00:00:00"/>
    <x v="2"/>
    <x v="19"/>
    <x v="1"/>
    <x v="1"/>
    <n v="7"/>
    <n v="25"/>
    <x v="21"/>
    <n v="6.5"/>
    <n v="2.5"/>
    <x v="13"/>
    <x v="17"/>
    <n v="35"/>
    <s v="OBESE"/>
    <x v="0"/>
  </r>
  <r>
    <x v="24"/>
    <d v="2025-06-27T00:00:00"/>
    <x v="2"/>
    <x v="20"/>
    <x v="2"/>
    <x v="2"/>
    <n v="4"/>
    <n v="50"/>
    <x v="11"/>
    <n v="7.3"/>
    <n v="1.9"/>
    <x v="21"/>
    <x v="18"/>
    <n v="19"/>
    <s v="NORMAL"/>
    <x v="0"/>
  </r>
  <r>
    <x v="25"/>
    <d v="2025-06-27T00:00:00"/>
    <x v="2"/>
    <x v="21"/>
    <x v="3"/>
    <x v="3"/>
    <n v="10"/>
    <n v="20"/>
    <x v="11"/>
    <n v="3.5"/>
    <n v="1.4"/>
    <x v="8"/>
    <x v="19"/>
    <n v="30"/>
    <s v="OBESE"/>
    <x v="0"/>
  </r>
  <r>
    <x v="26"/>
    <d v="2025-06-27T00:00:00"/>
    <x v="2"/>
    <x v="22"/>
    <x v="0"/>
    <x v="4"/>
    <n v="7"/>
    <n v="40"/>
    <x v="20"/>
    <n v="7"/>
    <n v="2.4"/>
    <x v="22"/>
    <x v="20"/>
    <n v="21"/>
    <s v="NORMAL"/>
    <x v="0"/>
  </r>
  <r>
    <x v="27"/>
    <d v="2025-06-27T00:00:00"/>
    <x v="2"/>
    <x v="2"/>
    <x v="1"/>
    <x v="6"/>
    <n v="10"/>
    <n v="50"/>
    <x v="22"/>
    <n v="6.4"/>
    <n v="2.1"/>
    <x v="23"/>
    <x v="21"/>
    <n v="33"/>
    <s v="OBESE"/>
    <x v="1"/>
  </r>
  <r>
    <x v="28"/>
    <d v="2025-06-27T00:00:00"/>
    <x v="2"/>
    <x v="23"/>
    <x v="2"/>
    <x v="7"/>
    <n v="6"/>
    <n v="60"/>
    <x v="23"/>
    <n v="7"/>
    <n v="2.2999999999999998"/>
    <x v="2"/>
    <x v="10"/>
    <n v="19"/>
    <s v="NORMAL"/>
    <x v="0"/>
  </r>
  <r>
    <x v="29"/>
    <d v="2025-06-28T00:00:00"/>
    <x v="3"/>
    <x v="24"/>
    <x v="3"/>
    <x v="8"/>
    <n v="5"/>
    <n v="30"/>
    <x v="24"/>
    <n v="6.6"/>
    <n v="1.8"/>
    <x v="24"/>
    <x v="22"/>
    <n v="29"/>
    <s v="OVERWEIGHT"/>
    <x v="0"/>
  </r>
  <r>
    <x v="30"/>
    <d v="2025-06-28T00:00:00"/>
    <x v="3"/>
    <x v="25"/>
    <x v="2"/>
    <x v="9"/>
    <n v="9"/>
    <n v="37"/>
    <x v="25"/>
    <n v="5"/>
    <n v="2"/>
    <x v="17"/>
    <x v="23"/>
    <n v="33"/>
    <s v="OBESE"/>
    <x v="1"/>
  </r>
  <r>
    <x v="31"/>
    <d v="2025-06-28T00:00:00"/>
    <x v="3"/>
    <x v="26"/>
    <x v="0"/>
    <x v="5"/>
    <n v="5"/>
    <n v="20"/>
    <x v="26"/>
    <n v="6.8"/>
    <n v="2.5"/>
    <x v="17"/>
    <x v="3"/>
    <n v="22"/>
    <s v="NORMAL"/>
    <x v="1"/>
  </r>
  <r>
    <x v="32"/>
    <d v="2025-06-28T00:00:00"/>
    <x v="3"/>
    <x v="27"/>
    <x v="1"/>
    <x v="9"/>
    <n v="9"/>
    <n v="45"/>
    <x v="27"/>
    <n v="5.9"/>
    <n v="2.8"/>
    <x v="25"/>
    <x v="24"/>
    <n v="32"/>
    <s v="OBESE"/>
    <x v="1"/>
  </r>
  <r>
    <x v="33"/>
    <d v="2025-06-28T00:00:00"/>
    <x v="3"/>
    <x v="13"/>
    <x v="2"/>
    <x v="3"/>
    <n v="6"/>
    <n v="55"/>
    <x v="7"/>
    <n v="7.1"/>
    <n v="2.5"/>
    <x v="26"/>
    <x v="25"/>
    <n v="18"/>
    <s v="NORMAL"/>
    <x v="1"/>
  </r>
  <r>
    <x v="34"/>
    <d v="2025-06-28T00:00:00"/>
    <x v="3"/>
    <x v="28"/>
    <x v="3"/>
    <x v="6"/>
    <n v="10"/>
    <n v="70"/>
    <x v="28"/>
    <n v="2.5"/>
    <n v="2.1"/>
    <x v="27"/>
    <x v="1"/>
    <n v="26"/>
    <s v="OVERWEIGHT"/>
    <x v="0"/>
  </r>
  <r>
    <x v="35"/>
    <d v="2025-06-28T00:00:00"/>
    <x v="3"/>
    <x v="29"/>
    <x v="0"/>
    <x v="10"/>
    <n v="10"/>
    <n v="45"/>
    <x v="6"/>
    <n v="4.5"/>
    <n v="1"/>
    <x v="28"/>
    <x v="26"/>
    <n v="15"/>
    <s v="UNDERWEIGHT"/>
    <x v="0"/>
  </r>
  <r>
    <x v="36"/>
    <d v="2025-06-28T00:00:00"/>
    <x v="3"/>
    <x v="19"/>
    <x v="1"/>
    <x v="7"/>
    <n v="6"/>
    <n v="64"/>
    <x v="29"/>
    <n v="6"/>
    <n v="1.9"/>
    <x v="6"/>
    <x v="10"/>
    <n v="16"/>
    <s v="UNDERWEIGHT"/>
    <x v="0"/>
  </r>
  <r>
    <x v="37"/>
    <d v="2025-06-28T00:00:00"/>
    <x v="3"/>
    <x v="13"/>
    <x v="1"/>
    <x v="7"/>
    <n v="6"/>
    <n v="25"/>
    <x v="24"/>
    <n v="7.6"/>
    <n v="2"/>
    <x v="29"/>
    <x v="27"/>
    <n v="23"/>
    <s v="NORMAL"/>
    <x v="1"/>
  </r>
  <r>
    <x v="38"/>
    <d v="2025-06-28T00:00:00"/>
    <x v="3"/>
    <x v="30"/>
    <x v="2"/>
    <x v="8"/>
    <n v="5"/>
    <n v="50"/>
    <x v="13"/>
    <n v="6.4"/>
    <n v="2.4"/>
    <x v="30"/>
    <x v="8"/>
    <n v="15"/>
    <s v="UNDERWEIGHT"/>
    <x v="0"/>
  </r>
  <r>
    <x v="39"/>
    <d v="2025-06-29T00:00:00"/>
    <x v="4"/>
    <x v="15"/>
    <x v="3"/>
    <x v="5"/>
    <n v="5"/>
    <n v="20"/>
    <x v="26"/>
    <n v="5.5"/>
    <n v="2.1"/>
    <x v="31"/>
    <x v="28"/>
    <n v="33"/>
    <s v="OBESE"/>
    <x v="1"/>
  </r>
  <r>
    <x v="39"/>
    <d v="2025-06-29T00:00:00"/>
    <x v="4"/>
    <x v="31"/>
    <x v="0"/>
    <x v="2"/>
    <n v="8"/>
    <n v="65"/>
    <x v="30"/>
    <n v="6.6"/>
    <n v="2"/>
    <x v="17"/>
    <x v="7"/>
    <n v="29"/>
    <s v="OVERWEIGHT"/>
    <x v="1"/>
  </r>
  <r>
    <x v="40"/>
    <d v="2025-06-29T00:00:00"/>
    <x v="4"/>
    <x v="32"/>
    <x v="1"/>
    <x v="9"/>
    <n v="10"/>
    <n v="40"/>
    <x v="31"/>
    <n v="4.5999999999999996"/>
    <n v="2.2000000000000002"/>
    <x v="32"/>
    <x v="6"/>
    <n v="18"/>
    <s v="NORMAL"/>
    <x v="0"/>
  </r>
  <r>
    <x v="41"/>
    <d v="2025-06-29T00:00:00"/>
    <x v="4"/>
    <x v="33"/>
    <x v="3"/>
    <x v="0"/>
    <n v="5"/>
    <n v="50"/>
    <x v="13"/>
    <n v="3.5"/>
    <n v="1.5"/>
    <x v="33"/>
    <x v="29"/>
    <n v="27"/>
    <s v="OVERWEIGHT"/>
    <x v="1"/>
  </r>
  <r>
    <x v="42"/>
    <d v="2025-06-29T00:00:00"/>
    <x v="4"/>
    <x v="22"/>
    <x v="0"/>
    <x v="1"/>
    <n v="7"/>
    <n v="60"/>
    <x v="32"/>
    <n v="6.5"/>
    <n v="1.6"/>
    <x v="9"/>
    <x v="30"/>
    <n v="18"/>
    <s v="NORMAL"/>
    <x v="0"/>
  </r>
  <r>
    <x v="43"/>
    <d v="2025-06-29T00:00:00"/>
    <x v="4"/>
    <x v="34"/>
    <x v="3"/>
    <x v="2"/>
    <n v="4"/>
    <n v="30"/>
    <x v="33"/>
    <n v="4.2"/>
    <n v="1.2"/>
    <x v="34"/>
    <x v="31"/>
    <n v="33"/>
    <s v="OBESE"/>
    <x v="1"/>
  </r>
  <r>
    <x v="44"/>
    <d v="2025-06-29T00:00:00"/>
    <x v="4"/>
    <x v="35"/>
    <x v="0"/>
    <x v="3"/>
    <n v="6"/>
    <n v="20"/>
    <x v="33"/>
    <n v="1.9"/>
    <n v="1"/>
    <x v="17"/>
    <x v="32"/>
    <n v="19"/>
    <s v="NORMAL"/>
    <x v="1"/>
  </r>
  <r>
    <x v="45"/>
    <d v="2025-06-29T00:00:00"/>
    <x v="4"/>
    <x v="36"/>
    <x v="1"/>
    <x v="0"/>
    <n v="8"/>
    <n v="45"/>
    <x v="23"/>
    <n v="6"/>
    <n v="2.4"/>
    <x v="13"/>
    <x v="33"/>
    <n v="28"/>
    <s v="OVERWEIGHT"/>
    <x v="0"/>
  </r>
  <r>
    <x v="46"/>
    <d v="2025-06-29T00:00:00"/>
    <x v="4"/>
    <x v="37"/>
    <x v="2"/>
    <x v="1"/>
    <n v="7"/>
    <n v="55"/>
    <x v="34"/>
    <n v="4"/>
    <n v="1.3"/>
    <x v="35"/>
    <x v="17"/>
    <n v="26"/>
    <s v="OVERWEIGHT"/>
    <x v="0"/>
  </r>
  <r>
    <x v="47"/>
    <d v="2025-06-29T00:00:00"/>
    <x v="4"/>
    <x v="38"/>
    <x v="0"/>
    <x v="2"/>
    <n v="4"/>
    <n v="65"/>
    <x v="35"/>
    <n v="7.4"/>
    <n v="2.1"/>
    <x v="12"/>
    <x v="19"/>
    <n v="33"/>
    <s v="OBESE"/>
    <x v="0"/>
  </r>
  <r>
    <x v="48"/>
    <d v="2025-06-30T00:00:00"/>
    <x v="5"/>
    <x v="39"/>
    <x v="2"/>
    <x v="6"/>
    <n v="10"/>
    <n v="45"/>
    <x v="6"/>
    <n v="1.6"/>
    <n v="1.1000000000000001"/>
    <x v="11"/>
    <x v="2"/>
    <n v="20"/>
    <s v="NORMAL"/>
    <x v="0"/>
  </r>
  <r>
    <x v="49"/>
    <d v="2025-06-30T00:00:00"/>
    <x v="5"/>
    <x v="40"/>
    <x v="1"/>
    <x v="7"/>
    <n v="6"/>
    <n v="25"/>
    <x v="24"/>
    <n v="5.5"/>
    <n v="1"/>
    <x v="36"/>
    <x v="34"/>
    <n v="42"/>
    <s v="OBESE"/>
    <x v="0"/>
  </r>
  <r>
    <x v="50"/>
    <d v="2025-06-30T00:00:00"/>
    <x v="5"/>
    <x v="41"/>
    <x v="0"/>
    <x v="8"/>
    <n v="5"/>
    <n v="50"/>
    <x v="13"/>
    <n v="6.1"/>
    <n v="2.2999999999999998"/>
    <x v="37"/>
    <x v="5"/>
    <n v="25"/>
    <s v="OVERWEIGHT"/>
    <x v="1"/>
  </r>
  <r>
    <x v="51"/>
    <d v="2025-06-30T00:00:00"/>
    <x v="5"/>
    <x v="42"/>
    <x v="3"/>
    <x v="5"/>
    <n v="5"/>
    <n v="20"/>
    <x v="26"/>
    <n v="4.5"/>
    <n v="2.4"/>
    <x v="38"/>
    <x v="14"/>
    <n v="18"/>
    <s v="NORMAL"/>
    <x v="1"/>
  </r>
  <r>
    <x v="52"/>
    <d v="2025-06-30T00:00:00"/>
    <x v="5"/>
    <x v="43"/>
    <x v="0"/>
    <x v="9"/>
    <n v="9"/>
    <n v="65"/>
    <x v="36"/>
    <n v="6.3"/>
    <n v="1.5"/>
    <x v="6"/>
    <x v="7"/>
    <n v="20"/>
    <s v="NORMAL"/>
    <x v="0"/>
  </r>
  <r>
    <x v="53"/>
    <d v="2025-06-30T00:00:00"/>
    <x v="5"/>
    <x v="30"/>
    <x v="1"/>
    <x v="1"/>
    <n v="7"/>
    <n v="60"/>
    <x v="32"/>
    <n v="8"/>
    <n v="1"/>
    <x v="15"/>
    <x v="11"/>
    <n v="23"/>
    <s v="NORMAL"/>
    <x v="0"/>
  </r>
  <r>
    <x v="54"/>
    <d v="2025-06-30T00:00:00"/>
    <x v="5"/>
    <x v="44"/>
    <x v="3"/>
    <x v="3"/>
    <n v="6"/>
    <n v="45"/>
    <x v="15"/>
    <n v="5"/>
    <n v="1.1000000000000001"/>
    <x v="39"/>
    <x v="20"/>
    <n v="35"/>
    <s v="OBESE"/>
    <x v="1"/>
  </r>
  <r>
    <x v="55"/>
    <d v="2025-06-30T00:00:00"/>
    <x v="5"/>
    <x v="45"/>
    <x v="2"/>
    <x v="4"/>
    <n v="7"/>
    <n v="25"/>
    <x v="21"/>
    <n v="4.2"/>
    <n v="2.5"/>
    <x v="40"/>
    <x v="3"/>
    <n v="22"/>
    <s v="NORMAL"/>
    <x v="1"/>
  </r>
  <r>
    <x v="56"/>
    <d v="2025-06-30T00:00:00"/>
    <x v="5"/>
    <x v="46"/>
    <x v="1"/>
    <x v="6"/>
    <n v="10"/>
    <n v="40"/>
    <x v="31"/>
    <n v="6.6"/>
    <n v="1.9"/>
    <x v="10"/>
    <x v="1"/>
    <n v="24"/>
    <s v="NORMAL"/>
    <x v="0"/>
  </r>
  <r>
    <x v="57"/>
    <d v="2025-06-30T00:00:00"/>
    <x v="5"/>
    <x v="47"/>
    <x v="1"/>
    <x v="8"/>
    <n v="5"/>
    <n v="25"/>
    <x v="9"/>
    <n v="3.9"/>
    <n v="1.8"/>
    <x v="8"/>
    <x v="35"/>
    <n v="70"/>
    <s v="OBESE"/>
    <x v="0"/>
  </r>
</pivotCacheRecords>
</file>

<file path=xl/pivotCache/pivotCacheRecords2.xml><?xml version="1.0" encoding="utf-8"?>
<pivotCacheRecords xmlns="http://schemas.openxmlformats.org/spreadsheetml/2006/main" xmlns:r="http://schemas.openxmlformats.org/officeDocument/2006/relationships" count="59">
  <r>
    <d v="2025-06-25T00:00:00"/>
    <x v="0"/>
    <x v="0"/>
    <s v="HAPPY"/>
    <x v="0"/>
    <n v="8"/>
    <n v="40"/>
    <x v="0"/>
    <x v="0"/>
    <n v="2"/>
  </r>
  <r>
    <d v="2025-06-25T00:00:00"/>
    <x v="0"/>
    <x v="1"/>
    <s v="ENERGETIC"/>
    <x v="1"/>
    <n v="7"/>
    <n v="50"/>
    <x v="1"/>
    <x v="1"/>
    <n v="2.5"/>
  </r>
  <r>
    <d v="2025-06-25T00:00:00"/>
    <x v="0"/>
    <x v="2"/>
    <s v="TIRED"/>
    <x v="2"/>
    <n v="8"/>
    <n v="60"/>
    <x v="2"/>
    <x v="2"/>
    <n v="1.8"/>
  </r>
  <r>
    <d v="2025-06-25T00:00:00"/>
    <x v="0"/>
    <x v="3"/>
    <s v="LAZY"/>
    <x v="3"/>
    <n v="6"/>
    <n v="30"/>
    <x v="3"/>
    <x v="3"/>
    <n v="2.2999999999999998"/>
  </r>
  <r>
    <d v="2025-06-25T00:00:00"/>
    <x v="0"/>
    <x v="4"/>
    <s v="HAPPY"/>
    <x v="4"/>
    <n v="7"/>
    <n v="20"/>
    <x v="4"/>
    <x v="4"/>
    <n v="2.1"/>
  </r>
  <r>
    <d v="2025-06-25T00:00:00"/>
    <x v="0"/>
    <x v="5"/>
    <s v="LAZY"/>
    <x v="5"/>
    <n v="6"/>
    <n v="48"/>
    <x v="5"/>
    <x v="1"/>
    <n v="2.2000000000000002"/>
  </r>
  <r>
    <d v="2025-06-25T00:00:00"/>
    <x v="0"/>
    <x v="6"/>
    <s v="ENERGETIC"/>
    <x v="6"/>
    <n v="10"/>
    <n v="45"/>
    <x v="6"/>
    <x v="5"/>
    <n v="2.7"/>
  </r>
  <r>
    <d v="2025-06-25T00:00:00"/>
    <x v="0"/>
    <x v="7"/>
    <s v="TIRED"/>
    <x v="7"/>
    <n v="6"/>
    <n v="55"/>
    <x v="7"/>
    <x v="6"/>
    <n v="1.9"/>
  </r>
  <r>
    <d v="2025-06-25T00:00:00"/>
    <x v="0"/>
    <x v="3"/>
    <s v="LAZY"/>
    <x v="8"/>
    <n v="5"/>
    <n v="65"/>
    <x v="8"/>
    <x v="7"/>
    <n v="2.4"/>
  </r>
  <r>
    <d v="2025-06-26T00:00:00"/>
    <x v="1"/>
    <x v="8"/>
    <s v="HAPPY"/>
    <x v="5"/>
    <n v="5"/>
    <n v="25"/>
    <x v="9"/>
    <x v="4"/>
    <n v="2"/>
  </r>
  <r>
    <d v="2025-06-26T00:00:00"/>
    <x v="1"/>
    <x v="9"/>
    <s v="ENERGETIC"/>
    <x v="9"/>
    <n v="9"/>
    <n v="25"/>
    <x v="10"/>
    <x v="0"/>
    <n v="1.2"/>
  </r>
  <r>
    <d v="2025-06-26T00:00:00"/>
    <x v="1"/>
    <x v="10"/>
    <s v="TIRED"/>
    <x v="4"/>
    <n v="7"/>
    <n v="50"/>
    <x v="1"/>
    <x v="8"/>
    <n v="2.2000000000000002"/>
  </r>
  <r>
    <d v="2025-06-26T00:00:00"/>
    <x v="1"/>
    <x v="11"/>
    <s v="LAZY"/>
    <x v="6"/>
    <n v="10"/>
    <n v="20"/>
    <x v="11"/>
    <x v="9"/>
    <n v="2.6"/>
  </r>
  <r>
    <d v="2025-06-26T00:00:00"/>
    <x v="1"/>
    <x v="2"/>
    <s v="LAZY"/>
    <x v="3"/>
    <n v="6"/>
    <n v="48"/>
    <x v="5"/>
    <x v="10"/>
    <n v="1.5"/>
  </r>
  <r>
    <d v="2025-06-26T00:00:00"/>
    <x v="1"/>
    <x v="3"/>
    <s v="HAPPY"/>
    <x v="7"/>
    <n v="6"/>
    <n v="15"/>
    <x v="12"/>
    <x v="10"/>
    <n v="1.7"/>
  </r>
  <r>
    <d v="2025-06-26T00:00:00"/>
    <x v="1"/>
    <x v="12"/>
    <s v="ENERGETIC"/>
    <x v="8"/>
    <n v="5"/>
    <n v="50"/>
    <x v="13"/>
    <x v="11"/>
    <n v="2.5"/>
  </r>
  <r>
    <d v="2025-06-26T00:00:00"/>
    <x v="1"/>
    <x v="13"/>
    <s v="TIRED"/>
    <x v="5"/>
    <n v="5"/>
    <n v="60"/>
    <x v="14"/>
    <x v="12"/>
    <n v="2.1"/>
  </r>
  <r>
    <d v="2025-06-29T00:00:00"/>
    <x v="2"/>
    <x v="14"/>
    <s v="LAZY"/>
    <x v="5"/>
    <n v="5"/>
    <n v="20"/>
    <x v="15"/>
    <x v="13"/>
    <n v="2.1"/>
  </r>
  <r>
    <d v="2025-06-26T00:00:00"/>
    <x v="1"/>
    <x v="15"/>
    <s v="LAZY"/>
    <x v="9"/>
    <n v="9"/>
    <n v="30"/>
    <x v="16"/>
    <x v="14"/>
    <n v="1.8"/>
  </r>
  <r>
    <d v="2025-06-26T00:00:00"/>
    <x v="1"/>
    <x v="14"/>
    <s v="HAPPY"/>
    <x v="0"/>
    <n v="8"/>
    <n v="20"/>
    <x v="17"/>
    <x v="1"/>
    <n v="2.2000000000000002"/>
  </r>
  <r>
    <d v="2025-06-27T00:00:00"/>
    <x v="3"/>
    <x v="16"/>
    <s v="ENERGETIC"/>
    <x v="6"/>
    <n v="10"/>
    <n v="72"/>
    <x v="18"/>
    <x v="2"/>
    <n v="2"/>
  </r>
  <r>
    <d v="2025-06-27T00:00:00"/>
    <x v="3"/>
    <x v="0"/>
    <s v="TIRED"/>
    <x v="2"/>
    <n v="8"/>
    <n v="55"/>
    <x v="19"/>
    <x v="7"/>
    <n v="2.6"/>
  </r>
  <r>
    <d v="2025-06-27T00:00:00"/>
    <x v="3"/>
    <x v="17"/>
    <s v="LAZY"/>
    <x v="3"/>
    <n v="6"/>
    <n v="65"/>
    <x v="20"/>
    <x v="13"/>
    <n v="2.7"/>
  </r>
  <r>
    <d v="2025-06-27T00:00:00"/>
    <x v="3"/>
    <x v="18"/>
    <s v="HAPPY"/>
    <x v="0"/>
    <n v="8"/>
    <n v="35"/>
    <x v="21"/>
    <x v="8"/>
    <n v="1.3"/>
  </r>
  <r>
    <d v="2025-06-27T00:00:00"/>
    <x v="3"/>
    <x v="19"/>
    <s v="ENERGETIC"/>
    <x v="1"/>
    <n v="7"/>
    <n v="25"/>
    <x v="22"/>
    <x v="0"/>
    <n v="2.5"/>
  </r>
  <r>
    <d v="2025-06-27T00:00:00"/>
    <x v="3"/>
    <x v="20"/>
    <s v="TIRED"/>
    <x v="2"/>
    <n v="4"/>
    <n v="50"/>
    <x v="11"/>
    <x v="12"/>
    <n v="1.9"/>
  </r>
  <r>
    <d v="2025-06-27T00:00:00"/>
    <x v="3"/>
    <x v="21"/>
    <s v="LAZY"/>
    <x v="3"/>
    <n v="10"/>
    <n v="20"/>
    <x v="11"/>
    <x v="15"/>
    <n v="1.4"/>
  </r>
  <r>
    <d v="2025-06-27T00:00:00"/>
    <x v="3"/>
    <x v="22"/>
    <s v="HAPPY"/>
    <x v="4"/>
    <n v="7"/>
    <n v="40"/>
    <x v="21"/>
    <x v="3"/>
    <n v="2.4"/>
  </r>
  <r>
    <d v="2025-06-27T00:00:00"/>
    <x v="3"/>
    <x v="2"/>
    <s v="ENERGETIC"/>
    <x v="6"/>
    <n v="10"/>
    <n v="50"/>
    <x v="23"/>
    <x v="16"/>
    <n v="2.1"/>
  </r>
  <r>
    <d v="2025-06-27T00:00:00"/>
    <x v="3"/>
    <x v="23"/>
    <s v="TIRED"/>
    <x v="7"/>
    <n v="6"/>
    <n v="60"/>
    <x v="24"/>
    <x v="3"/>
    <n v="2.2999999999999998"/>
  </r>
  <r>
    <d v="2025-06-28T00:00:00"/>
    <x v="4"/>
    <x v="24"/>
    <s v="LAZY"/>
    <x v="8"/>
    <n v="5"/>
    <n v="30"/>
    <x v="25"/>
    <x v="14"/>
    <n v="1.8"/>
  </r>
  <r>
    <d v="2025-06-28T00:00:00"/>
    <x v="4"/>
    <x v="25"/>
    <s v="TIRED"/>
    <x v="9"/>
    <n v="9"/>
    <n v="37"/>
    <x v="26"/>
    <x v="17"/>
    <n v="2"/>
  </r>
  <r>
    <d v="2025-06-28T00:00:00"/>
    <x v="4"/>
    <x v="26"/>
    <s v="HAPPY"/>
    <x v="5"/>
    <n v="5"/>
    <n v="20"/>
    <x v="15"/>
    <x v="4"/>
    <n v="2.5"/>
  </r>
  <r>
    <d v="2025-06-28T00:00:00"/>
    <x v="4"/>
    <x v="27"/>
    <s v="ENERGETIC"/>
    <x v="9"/>
    <n v="9"/>
    <n v="45"/>
    <x v="27"/>
    <x v="6"/>
    <n v="2.8"/>
  </r>
  <r>
    <d v="2025-06-28T00:00:00"/>
    <x v="4"/>
    <x v="13"/>
    <s v="TIRED"/>
    <x v="3"/>
    <n v="6"/>
    <n v="55"/>
    <x v="7"/>
    <x v="8"/>
    <n v="2.5"/>
  </r>
  <r>
    <d v="2025-06-28T00:00:00"/>
    <x v="4"/>
    <x v="28"/>
    <s v="LAZY"/>
    <x v="6"/>
    <n v="10"/>
    <n v="70"/>
    <x v="28"/>
    <x v="18"/>
    <n v="2.1"/>
  </r>
  <r>
    <d v="2025-06-28T00:00:00"/>
    <x v="4"/>
    <x v="29"/>
    <s v="HAPPY"/>
    <x v="10"/>
    <n v="10"/>
    <n v="45"/>
    <x v="6"/>
    <x v="19"/>
    <n v="1"/>
  </r>
  <r>
    <d v="2025-06-28T00:00:00"/>
    <x v="4"/>
    <x v="19"/>
    <s v="ENERGETIC"/>
    <x v="7"/>
    <n v="6"/>
    <n v="64"/>
    <x v="29"/>
    <x v="2"/>
    <n v="1.9"/>
  </r>
  <r>
    <d v="2025-06-28T00:00:00"/>
    <x v="4"/>
    <x v="13"/>
    <s v="ENERGETIC"/>
    <x v="7"/>
    <n v="6"/>
    <n v="25"/>
    <x v="25"/>
    <x v="20"/>
    <n v="2"/>
  </r>
  <r>
    <d v="2025-06-28T00:00:00"/>
    <x v="4"/>
    <x v="30"/>
    <s v="TIRED"/>
    <x v="8"/>
    <n v="5"/>
    <n v="50"/>
    <x v="13"/>
    <x v="16"/>
    <n v="2.4"/>
  </r>
  <r>
    <d v="2025-06-29T00:00:00"/>
    <x v="2"/>
    <x v="31"/>
    <s v="HAPPY"/>
    <x v="2"/>
    <n v="8"/>
    <n v="65"/>
    <x v="30"/>
    <x v="14"/>
    <n v="2"/>
  </r>
  <r>
    <d v="2025-06-29T00:00:00"/>
    <x v="2"/>
    <x v="32"/>
    <s v="ENERGETIC"/>
    <x v="9"/>
    <n v="10"/>
    <n v="40"/>
    <x v="31"/>
    <x v="21"/>
    <n v="2.2000000000000002"/>
  </r>
  <r>
    <d v="2025-06-29T00:00:00"/>
    <x v="2"/>
    <x v="33"/>
    <s v="LAZY"/>
    <x v="0"/>
    <n v="5"/>
    <n v="50"/>
    <x v="13"/>
    <x v="15"/>
    <n v="1.5"/>
  </r>
  <r>
    <d v="2025-06-29T00:00:00"/>
    <x v="2"/>
    <x v="22"/>
    <s v="HAPPY"/>
    <x v="1"/>
    <n v="7"/>
    <n v="60"/>
    <x v="32"/>
    <x v="0"/>
    <n v="1.6"/>
  </r>
  <r>
    <d v="2025-06-29T00:00:00"/>
    <x v="2"/>
    <x v="34"/>
    <s v="LAZY"/>
    <x v="2"/>
    <n v="4"/>
    <n v="30"/>
    <x v="33"/>
    <x v="22"/>
    <n v="1.2"/>
  </r>
  <r>
    <d v="2025-06-29T00:00:00"/>
    <x v="2"/>
    <x v="35"/>
    <s v="HAPPY"/>
    <x v="3"/>
    <n v="6"/>
    <n v="20"/>
    <x v="33"/>
    <x v="23"/>
    <n v="1"/>
  </r>
  <r>
    <d v="2025-06-29T00:00:00"/>
    <x v="2"/>
    <x v="36"/>
    <s v="ENERGETIC"/>
    <x v="0"/>
    <n v="8"/>
    <n v="45"/>
    <x v="24"/>
    <x v="2"/>
    <n v="2.4"/>
  </r>
  <r>
    <d v="2025-06-29T00:00:00"/>
    <x v="2"/>
    <x v="37"/>
    <s v="TIRED"/>
    <x v="1"/>
    <n v="7"/>
    <n v="55"/>
    <x v="34"/>
    <x v="24"/>
    <n v="1.3"/>
  </r>
  <r>
    <d v="2025-06-29T00:00:00"/>
    <x v="2"/>
    <x v="38"/>
    <s v="HAPPY"/>
    <x v="2"/>
    <n v="4"/>
    <n v="65"/>
    <x v="35"/>
    <x v="5"/>
    <n v="2.1"/>
  </r>
  <r>
    <d v="2025-06-30T00:00:00"/>
    <x v="5"/>
    <x v="39"/>
    <s v="TIRED"/>
    <x v="6"/>
    <n v="10"/>
    <n v="45"/>
    <x v="6"/>
    <x v="25"/>
    <n v="1.1000000000000001"/>
  </r>
  <r>
    <d v="2025-06-30T00:00:00"/>
    <x v="5"/>
    <x v="40"/>
    <s v="ENERGETIC"/>
    <x v="7"/>
    <n v="6"/>
    <n v="25"/>
    <x v="25"/>
    <x v="13"/>
    <n v="1"/>
  </r>
  <r>
    <d v="2025-06-30T00:00:00"/>
    <x v="5"/>
    <x v="41"/>
    <s v="HAPPY"/>
    <x v="8"/>
    <n v="5"/>
    <n v="50"/>
    <x v="13"/>
    <x v="11"/>
    <n v="2.2999999999999998"/>
  </r>
  <r>
    <d v="2025-06-30T00:00:00"/>
    <x v="5"/>
    <x v="42"/>
    <s v="LAZY"/>
    <x v="5"/>
    <n v="5"/>
    <n v="20"/>
    <x v="15"/>
    <x v="19"/>
    <n v="2.4"/>
  </r>
  <r>
    <d v="2025-06-30T00:00:00"/>
    <x v="5"/>
    <x v="43"/>
    <s v="HAPPY"/>
    <x v="9"/>
    <n v="9"/>
    <n v="65"/>
    <x v="36"/>
    <x v="9"/>
    <n v="1.5"/>
  </r>
  <r>
    <d v="2025-06-30T00:00:00"/>
    <x v="5"/>
    <x v="30"/>
    <s v="ENERGETIC"/>
    <x v="1"/>
    <n v="7"/>
    <n v="60"/>
    <x v="32"/>
    <x v="26"/>
    <n v="1"/>
  </r>
  <r>
    <d v="2025-06-30T00:00:00"/>
    <x v="5"/>
    <x v="44"/>
    <s v="LAZY"/>
    <x v="3"/>
    <n v="6"/>
    <n v="45"/>
    <x v="16"/>
    <x v="17"/>
    <n v="1.1000000000000001"/>
  </r>
  <r>
    <d v="2025-06-30T00:00:00"/>
    <x v="5"/>
    <x v="45"/>
    <s v="TIRED"/>
    <x v="4"/>
    <n v="7"/>
    <n v="25"/>
    <x v="22"/>
    <x v="22"/>
    <n v="2.5"/>
  </r>
  <r>
    <d v="2025-06-30T00:00:00"/>
    <x v="5"/>
    <x v="46"/>
    <s v="ENERGETIC"/>
    <x v="6"/>
    <n v="10"/>
    <n v="40"/>
    <x v="31"/>
    <x v="14"/>
    <n v="1.9"/>
  </r>
  <r>
    <d v="2025-06-30T00:00:00"/>
    <x v="5"/>
    <x v="47"/>
    <s v="ENERGETIC"/>
    <x v="8"/>
    <n v="5"/>
    <n v="25"/>
    <x v="9"/>
    <x v="27"/>
    <n v="1.8"/>
  </r>
</pivotCacheRecords>
</file>

<file path=xl/pivotCache/pivotCacheRecords3.xml><?xml version="1.0" encoding="utf-8"?>
<pivotCacheRecords xmlns="http://schemas.openxmlformats.org/spreadsheetml/2006/main" xmlns:r="http://schemas.openxmlformats.org/officeDocument/2006/relationships" count="59">
  <r>
    <d v="2025-06-25T00:00:00"/>
    <x v="0"/>
    <n v="10000"/>
    <s v="HAPPY"/>
    <x v="0"/>
    <n v="8"/>
    <n v="40"/>
    <x v="0"/>
    <x v="0"/>
    <n v="2"/>
    <n v="52"/>
    <n v="155"/>
    <n v="22"/>
    <s v="NORMAL"/>
    <x v="0"/>
  </r>
  <r>
    <d v="2025-06-25T00:00:00"/>
    <x v="0"/>
    <n v="12500"/>
    <s v="ENERGETIC"/>
    <x v="1"/>
    <n v="7"/>
    <n v="50"/>
    <x v="1"/>
    <x v="1"/>
    <n v="2.5"/>
    <n v="82"/>
    <n v="175"/>
    <n v="27"/>
    <s v="OVERWEIGHT"/>
    <x v="0"/>
  </r>
  <r>
    <d v="2025-06-25T00:00:00"/>
    <x v="0"/>
    <n v="5000"/>
    <s v="TIRED"/>
    <x v="2"/>
    <n v="8"/>
    <n v="60"/>
    <x v="2"/>
    <x v="2"/>
    <n v="1.8"/>
    <n v="56"/>
    <n v="160"/>
    <n v="22"/>
    <s v="NORMAL"/>
    <x v="1"/>
  </r>
  <r>
    <d v="2025-06-25T00:00:00"/>
    <x v="0"/>
    <n v="7000"/>
    <s v="LAZY"/>
    <x v="3"/>
    <n v="6"/>
    <n v="30"/>
    <x v="3"/>
    <x v="3"/>
    <n v="2.2999999999999998"/>
    <n v="79"/>
    <n v="175"/>
    <n v="26"/>
    <s v="OVERWEIGHT"/>
    <x v="0"/>
  </r>
  <r>
    <d v="2025-06-25T00:00:00"/>
    <x v="0"/>
    <n v="10260"/>
    <s v="HAPPY"/>
    <x v="4"/>
    <n v="7"/>
    <n v="20"/>
    <x v="4"/>
    <x v="4"/>
    <n v="2.1"/>
    <n v="63"/>
    <n v="172"/>
    <n v="21"/>
    <s v="NORMAL"/>
    <x v="0"/>
  </r>
  <r>
    <d v="2025-06-25T00:00:00"/>
    <x v="0"/>
    <n v="3700"/>
    <s v="LAZY"/>
    <x v="5"/>
    <n v="6"/>
    <n v="48"/>
    <x v="5"/>
    <x v="1"/>
    <n v="2.2000000000000002"/>
    <n v="74"/>
    <n v="132"/>
    <n v="42"/>
    <s v="OBESE"/>
    <x v="1"/>
  </r>
  <r>
    <d v="2025-06-25T00:00:00"/>
    <x v="0"/>
    <n v="12600"/>
    <s v="ENERGETIC"/>
    <x v="6"/>
    <n v="10"/>
    <n v="45"/>
    <x v="6"/>
    <x v="5"/>
    <n v="2.7"/>
    <n v="45"/>
    <n v="158"/>
    <n v="18"/>
    <s v="NORMAL"/>
    <x v="0"/>
  </r>
  <r>
    <d v="2025-06-25T00:00:00"/>
    <x v="0"/>
    <n v="8900"/>
    <s v="TIRED"/>
    <x v="7"/>
    <n v="6"/>
    <n v="55"/>
    <x v="7"/>
    <x v="6"/>
    <n v="1.9"/>
    <n v="48"/>
    <n v="180"/>
    <n v="15"/>
    <s v="UNDERWEIGHT"/>
    <x v="0"/>
  </r>
  <r>
    <d v="2025-06-25T00:00:00"/>
    <x v="0"/>
    <n v="7000"/>
    <s v="LAZY"/>
    <x v="8"/>
    <n v="5"/>
    <n v="65"/>
    <x v="8"/>
    <x v="7"/>
    <n v="2.4"/>
    <n v="85"/>
    <n v="150"/>
    <n v="38"/>
    <s v="OBESE"/>
    <x v="0"/>
  </r>
  <r>
    <d v="2025-06-26T00:00:00"/>
    <x v="1"/>
    <n v="6600"/>
    <s v="HAPPY"/>
    <x v="5"/>
    <n v="5"/>
    <n v="25"/>
    <x v="9"/>
    <x v="4"/>
    <n v="2"/>
    <n v="60"/>
    <n v="178"/>
    <n v="19"/>
    <s v="NORMAL"/>
    <x v="1"/>
  </r>
  <r>
    <d v="2025-06-26T00:00:00"/>
    <x v="1"/>
    <n v="5500"/>
    <s v="ENERGETIC"/>
    <x v="9"/>
    <n v="9"/>
    <n v="25"/>
    <x v="10"/>
    <x v="0"/>
    <n v="1.2"/>
    <n v="75"/>
    <n v="162"/>
    <n v="29"/>
    <s v="OVERWEIGHT"/>
    <x v="1"/>
  </r>
  <r>
    <d v="2025-06-26T00:00:00"/>
    <x v="1"/>
    <n v="11240"/>
    <s v="TIRED"/>
    <x v="4"/>
    <n v="7"/>
    <n v="50"/>
    <x v="1"/>
    <x v="8"/>
    <n v="2.2000000000000002"/>
    <n v="50"/>
    <n v="170"/>
    <n v="17"/>
    <s v="UNDERWEIGHT"/>
    <x v="0"/>
  </r>
  <r>
    <d v="2025-06-26T00:00:00"/>
    <x v="1"/>
    <n v="4572"/>
    <s v="LAZY"/>
    <x v="6"/>
    <n v="10"/>
    <n v="20"/>
    <x v="11"/>
    <x v="9"/>
    <n v="2.6"/>
    <n v="92"/>
    <n v="156"/>
    <n v="38"/>
    <s v="OBESE"/>
    <x v="1"/>
  </r>
  <r>
    <d v="2025-06-26T00:00:00"/>
    <x v="1"/>
    <n v="5000"/>
    <s v="LAZY"/>
    <x v="3"/>
    <n v="6"/>
    <n v="48"/>
    <x v="5"/>
    <x v="10"/>
    <n v="1.5"/>
    <n v="95"/>
    <n v="160"/>
    <n v="37"/>
    <s v="OBESE"/>
    <x v="1"/>
  </r>
  <r>
    <d v="2025-06-26T00:00:00"/>
    <x v="1"/>
    <n v="7000"/>
    <s v="HAPPY"/>
    <x v="7"/>
    <n v="6"/>
    <n v="15"/>
    <x v="12"/>
    <x v="10"/>
    <n v="1.7"/>
    <n v="53"/>
    <n v="150"/>
    <n v="24"/>
    <s v="NORMAL"/>
    <x v="0"/>
  </r>
  <r>
    <d v="2025-06-26T00:00:00"/>
    <x v="1"/>
    <n v="13421"/>
    <s v="ENERGETIC"/>
    <x v="8"/>
    <n v="5"/>
    <n v="50"/>
    <x v="13"/>
    <x v="11"/>
    <n v="2.5"/>
    <n v="79"/>
    <n v="152"/>
    <n v="34"/>
    <s v="OBESE"/>
    <x v="0"/>
  </r>
  <r>
    <d v="2025-06-26T00:00:00"/>
    <x v="1"/>
    <n v="4500"/>
    <s v="TIRED"/>
    <x v="5"/>
    <n v="5"/>
    <n v="60"/>
    <x v="14"/>
    <x v="12"/>
    <n v="2.1"/>
    <n v="55"/>
    <n v="155"/>
    <n v="23"/>
    <s v="NORMAL"/>
    <x v="1"/>
  </r>
  <r>
    <d v="2025-06-29T00:00:00"/>
    <x v="2"/>
    <n v="6000"/>
    <s v="LAZY"/>
    <x v="5"/>
    <n v="5"/>
    <n v="20"/>
    <x v="15"/>
    <x v="13"/>
    <n v="2.1"/>
    <n v="105"/>
    <n v="179"/>
    <n v="33"/>
    <s v="OBESE"/>
    <x v="1"/>
  </r>
  <r>
    <d v="2025-06-26T00:00:00"/>
    <x v="1"/>
    <n v="4571"/>
    <s v="LAZY"/>
    <x v="9"/>
    <n v="9"/>
    <n v="30"/>
    <x v="16"/>
    <x v="14"/>
    <n v="1.8"/>
    <n v="88"/>
    <n v="157"/>
    <n v="36"/>
    <s v="OBESE"/>
    <x v="1"/>
  </r>
  <r>
    <d v="2025-06-26T00:00:00"/>
    <x v="1"/>
    <n v="6000"/>
    <s v="HAPPY"/>
    <x v="0"/>
    <n v="8"/>
    <n v="20"/>
    <x v="17"/>
    <x v="1"/>
    <n v="2.2000000000000002"/>
    <n v="48"/>
    <n v="160"/>
    <n v="19"/>
    <s v="NORMAL"/>
    <x v="1"/>
  </r>
  <r>
    <d v="2025-06-27T00:00:00"/>
    <x v="3"/>
    <n v="12400"/>
    <s v="ENERGETIC"/>
    <x v="6"/>
    <n v="10"/>
    <n v="72"/>
    <x v="18"/>
    <x v="2"/>
    <n v="2"/>
    <n v="65"/>
    <n v="161"/>
    <n v="25"/>
    <s v="OVERWEIGHT"/>
    <x v="0"/>
  </r>
  <r>
    <d v="2025-06-27T00:00:00"/>
    <x v="3"/>
    <n v="10000"/>
    <s v="TIRED"/>
    <x v="2"/>
    <n v="8"/>
    <n v="55"/>
    <x v="19"/>
    <x v="7"/>
    <n v="2.6"/>
    <n v="61"/>
    <n v="162"/>
    <n v="23"/>
    <s v="NORMAL"/>
    <x v="0"/>
  </r>
  <r>
    <d v="2025-06-27T00:00:00"/>
    <x v="3"/>
    <n v="5900"/>
    <s v="LAZY"/>
    <x v="3"/>
    <n v="6"/>
    <n v="65"/>
    <x v="20"/>
    <x v="13"/>
    <n v="2.7"/>
    <n v="91"/>
    <n v="163"/>
    <n v="34"/>
    <s v="OBESE"/>
    <x v="1"/>
  </r>
  <r>
    <d v="2025-06-27T00:00:00"/>
    <x v="3"/>
    <n v="9700"/>
    <s v="HAPPY"/>
    <x v="0"/>
    <n v="8"/>
    <n v="35"/>
    <x v="21"/>
    <x v="8"/>
    <n v="1.3"/>
    <n v="57"/>
    <n v="164"/>
    <n v="21"/>
    <s v="NORMAL"/>
    <x v="0"/>
  </r>
  <r>
    <d v="2025-06-27T00:00:00"/>
    <x v="3"/>
    <n v="12100"/>
    <s v="ENERGETIC"/>
    <x v="1"/>
    <n v="7"/>
    <n v="25"/>
    <x v="22"/>
    <x v="0"/>
    <n v="2.5"/>
    <n v="95"/>
    <n v="165"/>
    <n v="35"/>
    <s v="OBESE"/>
    <x v="0"/>
  </r>
  <r>
    <d v="2025-06-27T00:00:00"/>
    <x v="3"/>
    <n v="9300"/>
    <s v="TIRED"/>
    <x v="2"/>
    <n v="4"/>
    <n v="50"/>
    <x v="11"/>
    <x v="12"/>
    <n v="1.9"/>
    <n v="51"/>
    <n v="166"/>
    <n v="19"/>
    <s v="NORMAL"/>
    <x v="0"/>
  </r>
  <r>
    <d v="2025-06-27T00:00:00"/>
    <x v="3"/>
    <n v="8500"/>
    <s v="LAZY"/>
    <x v="3"/>
    <n v="10"/>
    <n v="20"/>
    <x v="11"/>
    <x v="15"/>
    <n v="1.4"/>
    <n v="85"/>
    <n v="167"/>
    <n v="30"/>
    <s v="OBESE"/>
    <x v="0"/>
  </r>
  <r>
    <d v="2025-06-27T00:00:00"/>
    <x v="3"/>
    <n v="12200"/>
    <s v="HAPPY"/>
    <x v="4"/>
    <n v="7"/>
    <n v="40"/>
    <x v="21"/>
    <x v="3"/>
    <n v="2.4"/>
    <n v="59"/>
    <n v="168"/>
    <n v="21"/>
    <s v="NORMAL"/>
    <x v="0"/>
  </r>
  <r>
    <d v="2025-06-27T00:00:00"/>
    <x v="3"/>
    <n v="5000"/>
    <s v="ENERGETIC"/>
    <x v="6"/>
    <n v="10"/>
    <n v="50"/>
    <x v="23"/>
    <x v="16"/>
    <n v="2.1"/>
    <n v="93"/>
    <n v="169"/>
    <n v="33"/>
    <s v="OBESE"/>
    <x v="1"/>
  </r>
  <r>
    <d v="2025-06-27T00:00:00"/>
    <x v="3"/>
    <n v="9200"/>
    <s v="TIRED"/>
    <x v="7"/>
    <n v="6"/>
    <n v="60"/>
    <x v="24"/>
    <x v="3"/>
    <n v="2.2999999999999998"/>
    <n v="56"/>
    <n v="170"/>
    <n v="19"/>
    <s v="NORMAL"/>
    <x v="0"/>
  </r>
  <r>
    <d v="2025-06-28T00:00:00"/>
    <x v="4"/>
    <n v="7500"/>
    <s v="LAZY"/>
    <x v="8"/>
    <n v="5"/>
    <n v="30"/>
    <x v="25"/>
    <x v="14"/>
    <n v="1.8"/>
    <n v="84"/>
    <n v="171"/>
    <n v="29"/>
    <s v="OVERWEIGHT"/>
    <x v="0"/>
  </r>
  <r>
    <d v="2025-06-28T00:00:00"/>
    <x v="4"/>
    <n v="4600"/>
    <s v="TIRED"/>
    <x v="9"/>
    <n v="9"/>
    <n v="37"/>
    <x v="26"/>
    <x v="17"/>
    <n v="2"/>
    <n v="65"/>
    <n v="140"/>
    <n v="33"/>
    <s v="OBESE"/>
    <x v="1"/>
  </r>
  <r>
    <d v="2025-06-28T00:00:00"/>
    <x v="4"/>
    <n v="5400"/>
    <s v="HAPPY"/>
    <x v="5"/>
    <n v="5"/>
    <n v="20"/>
    <x v="15"/>
    <x v="4"/>
    <n v="2.5"/>
    <n v="65"/>
    <n v="172"/>
    <n v="22"/>
    <s v="NORMAL"/>
    <x v="1"/>
  </r>
  <r>
    <d v="2025-06-28T00:00:00"/>
    <x v="4"/>
    <n v="4200"/>
    <s v="ENERGETIC"/>
    <x v="9"/>
    <n v="9"/>
    <n v="45"/>
    <x v="27"/>
    <x v="6"/>
    <n v="2.8"/>
    <n v="97"/>
    <n v="173"/>
    <n v="32"/>
    <s v="OBESE"/>
    <x v="1"/>
  </r>
  <r>
    <d v="2025-06-28T00:00:00"/>
    <x v="4"/>
    <n v="4500"/>
    <s v="TIRED"/>
    <x v="3"/>
    <n v="6"/>
    <n v="55"/>
    <x v="7"/>
    <x v="8"/>
    <n v="2.5"/>
    <n v="54"/>
    <n v="174"/>
    <n v="18"/>
    <s v="NORMAL"/>
    <x v="1"/>
  </r>
  <r>
    <d v="2025-06-28T00:00:00"/>
    <x v="4"/>
    <n v="11900"/>
    <s v="LAZY"/>
    <x v="6"/>
    <n v="10"/>
    <n v="70"/>
    <x v="28"/>
    <x v="18"/>
    <n v="2.1"/>
    <n v="80"/>
    <n v="175"/>
    <n v="26"/>
    <s v="OVERWEIGHT"/>
    <x v="0"/>
  </r>
  <r>
    <d v="2025-06-28T00:00:00"/>
    <x v="4"/>
    <n v="8800"/>
    <s v="HAPPY"/>
    <x v="10"/>
    <n v="10"/>
    <n v="45"/>
    <x v="6"/>
    <x v="19"/>
    <n v="1"/>
    <n v="46"/>
    <n v="176"/>
    <n v="15"/>
    <s v="UNDERWEIGHT"/>
    <x v="0"/>
  </r>
  <r>
    <d v="2025-06-28T00:00:00"/>
    <x v="4"/>
    <n v="12100"/>
    <s v="ENERGETIC"/>
    <x v="7"/>
    <n v="6"/>
    <n v="64"/>
    <x v="29"/>
    <x v="2"/>
    <n v="1.9"/>
    <n v="45"/>
    <n v="170"/>
    <n v="16"/>
    <s v="UNDERWEIGHT"/>
    <x v="0"/>
  </r>
  <r>
    <d v="2025-06-28T00:00:00"/>
    <x v="4"/>
    <n v="4500"/>
    <s v="ENERGETIC"/>
    <x v="7"/>
    <n v="6"/>
    <n v="25"/>
    <x v="25"/>
    <x v="20"/>
    <n v="2"/>
    <n v="72"/>
    <n v="177"/>
    <n v="23"/>
    <s v="NORMAL"/>
    <x v="1"/>
  </r>
  <r>
    <d v="2025-06-28T00:00:00"/>
    <x v="4"/>
    <n v="11000"/>
    <s v="TIRED"/>
    <x v="8"/>
    <n v="5"/>
    <n v="50"/>
    <x v="13"/>
    <x v="16"/>
    <n v="2.4"/>
    <n v="49"/>
    <n v="178"/>
    <n v="15"/>
    <s v="UNDERWEIGHT"/>
    <x v="0"/>
  </r>
  <r>
    <d v="2025-06-29T00:00:00"/>
    <x v="2"/>
    <n v="6800"/>
    <s v="HAPPY"/>
    <x v="2"/>
    <n v="8"/>
    <n v="65"/>
    <x v="30"/>
    <x v="14"/>
    <n v="2"/>
    <n v="65"/>
    <n v="150"/>
    <n v="29"/>
    <s v="OVERWEIGHT"/>
    <x v="1"/>
  </r>
  <r>
    <d v="2025-06-29T00:00:00"/>
    <x v="2"/>
    <n v="14570"/>
    <s v="ENERGETIC"/>
    <x v="9"/>
    <n v="10"/>
    <n v="40"/>
    <x v="31"/>
    <x v="21"/>
    <n v="2.2000000000000002"/>
    <n v="58"/>
    <n v="180"/>
    <n v="18"/>
    <s v="NORMAL"/>
    <x v="0"/>
  </r>
  <r>
    <d v="2025-06-29T00:00:00"/>
    <x v="2"/>
    <n v="5862"/>
    <s v="LAZY"/>
    <x v="0"/>
    <n v="5"/>
    <n v="50"/>
    <x v="13"/>
    <x v="15"/>
    <n v="1.5"/>
    <n v="90"/>
    <n v="181"/>
    <n v="27"/>
    <s v="OVERWEIGHT"/>
    <x v="1"/>
  </r>
  <r>
    <d v="2025-06-29T00:00:00"/>
    <x v="2"/>
    <n v="12200"/>
    <s v="HAPPY"/>
    <x v="1"/>
    <n v="7"/>
    <n v="60"/>
    <x v="32"/>
    <x v="0"/>
    <n v="1.6"/>
    <n v="60"/>
    <n v="182"/>
    <n v="18"/>
    <s v="NORMAL"/>
    <x v="0"/>
  </r>
  <r>
    <d v="2025-06-29T00:00:00"/>
    <x v="2"/>
    <n v="1111"/>
    <s v="LAZY"/>
    <x v="2"/>
    <n v="4"/>
    <n v="30"/>
    <x v="33"/>
    <x v="22"/>
    <n v="1.2"/>
    <n v="110"/>
    <n v="183"/>
    <n v="33"/>
    <s v="OBESE"/>
    <x v="1"/>
  </r>
  <r>
    <d v="2025-06-29T00:00:00"/>
    <x v="2"/>
    <n v="1002"/>
    <s v="HAPPY"/>
    <x v="3"/>
    <n v="6"/>
    <n v="20"/>
    <x v="33"/>
    <x v="23"/>
    <n v="1"/>
    <n v="65"/>
    <n v="184"/>
    <n v="19"/>
    <s v="NORMAL"/>
    <x v="1"/>
  </r>
  <r>
    <d v="2025-06-29T00:00:00"/>
    <x v="2"/>
    <n v="14000"/>
    <s v="ENERGETIC"/>
    <x v="0"/>
    <n v="8"/>
    <n v="45"/>
    <x v="24"/>
    <x v="2"/>
    <n v="2.4"/>
    <n v="95"/>
    <n v="185"/>
    <n v="28"/>
    <s v="OVERWEIGHT"/>
    <x v="0"/>
  </r>
  <r>
    <d v="2025-06-29T00:00:00"/>
    <x v="2"/>
    <n v="7851"/>
    <s v="TIRED"/>
    <x v="1"/>
    <n v="7"/>
    <n v="55"/>
    <x v="34"/>
    <x v="24"/>
    <n v="1.3"/>
    <n v="70"/>
    <n v="165"/>
    <n v="26"/>
    <s v="OVERWEIGHT"/>
    <x v="0"/>
  </r>
  <r>
    <d v="2025-06-29T00:00:00"/>
    <x v="2"/>
    <n v="13200"/>
    <s v="HAPPY"/>
    <x v="2"/>
    <n v="4"/>
    <n v="65"/>
    <x v="35"/>
    <x v="5"/>
    <n v="2.1"/>
    <n v="92"/>
    <n v="167"/>
    <n v="33"/>
    <s v="OBESE"/>
    <x v="0"/>
  </r>
  <r>
    <d v="2025-06-30T00:00:00"/>
    <x v="5"/>
    <n v="7744"/>
    <s v="TIRED"/>
    <x v="6"/>
    <n v="10"/>
    <n v="45"/>
    <x v="6"/>
    <x v="25"/>
    <n v="1.1000000000000001"/>
    <n v="50"/>
    <n v="160"/>
    <n v="20"/>
    <s v="NORMAL"/>
    <x v="0"/>
  </r>
  <r>
    <d v="2025-06-30T00:00:00"/>
    <x v="5"/>
    <n v="11411"/>
    <s v="ENERGETIC"/>
    <x v="7"/>
    <n v="6"/>
    <n v="25"/>
    <x v="25"/>
    <x v="13"/>
    <n v="1"/>
    <n v="106"/>
    <n v="159"/>
    <n v="42"/>
    <s v="OBESE"/>
    <x v="0"/>
  </r>
  <r>
    <d v="2025-06-30T00:00:00"/>
    <x v="5"/>
    <n v="2475"/>
    <s v="HAPPY"/>
    <x v="8"/>
    <n v="5"/>
    <n v="50"/>
    <x v="13"/>
    <x v="11"/>
    <n v="2.2999999999999998"/>
    <n v="62"/>
    <n v="158"/>
    <n v="25"/>
    <s v="OVERWEIGHT"/>
    <x v="1"/>
  </r>
  <r>
    <d v="2025-06-30T00:00:00"/>
    <x v="5"/>
    <n v="5781"/>
    <s v="LAZY"/>
    <x v="5"/>
    <n v="5"/>
    <n v="20"/>
    <x v="15"/>
    <x v="19"/>
    <n v="2.4"/>
    <n v="47"/>
    <n v="161"/>
    <n v="18"/>
    <s v="NORMAL"/>
    <x v="1"/>
  </r>
  <r>
    <d v="2025-06-30T00:00:00"/>
    <x v="5"/>
    <n v="14320"/>
    <s v="HAPPY"/>
    <x v="9"/>
    <n v="9"/>
    <n v="65"/>
    <x v="36"/>
    <x v="9"/>
    <n v="1.5"/>
    <n v="45"/>
    <n v="150"/>
    <n v="20"/>
    <s v="NORMAL"/>
    <x v="0"/>
  </r>
  <r>
    <d v="2025-06-30T00:00:00"/>
    <x v="5"/>
    <n v="11000"/>
    <s v="ENERGETIC"/>
    <x v="1"/>
    <n v="7"/>
    <n v="60"/>
    <x v="32"/>
    <x v="26"/>
    <n v="1"/>
    <n v="55"/>
    <n v="156"/>
    <n v="23"/>
    <s v="NORMAL"/>
    <x v="0"/>
  </r>
  <r>
    <d v="2025-06-30T00:00:00"/>
    <x v="5"/>
    <n v="6455"/>
    <s v="LAZY"/>
    <x v="3"/>
    <n v="6"/>
    <n v="45"/>
    <x v="16"/>
    <x v="17"/>
    <n v="1.1000000000000001"/>
    <n v="98"/>
    <n v="168"/>
    <n v="35"/>
    <s v="OBESE"/>
    <x v="1"/>
  </r>
  <r>
    <d v="2025-06-30T00:00:00"/>
    <x v="5"/>
    <n v="5478"/>
    <s v="TIRED"/>
    <x v="4"/>
    <n v="7"/>
    <n v="25"/>
    <x v="22"/>
    <x v="22"/>
    <n v="2.5"/>
    <n v="66"/>
    <n v="172"/>
    <n v="22"/>
    <s v="NORMAL"/>
    <x v="1"/>
  </r>
  <r>
    <d v="2025-06-30T00:00:00"/>
    <x v="5"/>
    <n v="10250"/>
    <s v="ENERGETIC"/>
    <x v="6"/>
    <n v="10"/>
    <n v="40"/>
    <x v="31"/>
    <x v="14"/>
    <n v="1.9"/>
    <n v="75"/>
    <n v="175"/>
    <n v="24"/>
    <s v="NORMAL"/>
    <x v="0"/>
  </r>
  <r>
    <d v="2025-06-30T00:00:00"/>
    <x v="5"/>
    <n v="9000"/>
    <s v="ENERGETIC"/>
    <x v="8"/>
    <n v="5"/>
    <n v="25"/>
    <x v="9"/>
    <x v="27"/>
    <n v="1.8"/>
    <n v="85"/>
    <n v="110"/>
    <n v="70"/>
    <s v="OBES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NAMES">
  <location ref="K4:O63" firstHeaderRow="0" firstDataRow="1" firstDataCol="1"/>
  <pivotFields count="16">
    <pivotField axis="axisRow" showAll="0" sortType="descending">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n="JILLU" x="39"/>
        <item x="40"/>
        <item x="41"/>
        <item x="42"/>
        <item x="43"/>
        <item x="44"/>
        <item x="45"/>
        <item x="46"/>
        <item x="47"/>
        <item x="48"/>
        <item x="49"/>
        <item x="50"/>
        <item x="51"/>
        <item x="52"/>
        <item x="53"/>
        <item x="54"/>
        <item x="55"/>
        <item x="56"/>
        <item x="57"/>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items count="49">
        <item x="35"/>
        <item x="34"/>
        <item x="41"/>
        <item x="5"/>
        <item x="27"/>
        <item x="13"/>
        <item x="14"/>
        <item x="11"/>
        <item x="25"/>
        <item x="2"/>
        <item x="26"/>
        <item x="45"/>
        <item x="9"/>
        <item x="42"/>
        <item x="33"/>
        <item x="17"/>
        <item x="15"/>
        <item x="44"/>
        <item x="8"/>
        <item x="31"/>
        <item x="3"/>
        <item x="24"/>
        <item x="39"/>
        <item x="37"/>
        <item x="21"/>
        <item x="29"/>
        <item x="7"/>
        <item x="47"/>
        <item x="23"/>
        <item x="20"/>
        <item x="18"/>
        <item x="0"/>
        <item x="46"/>
        <item x="4"/>
        <item x="30"/>
        <item x="10"/>
        <item x="40"/>
        <item x="28"/>
        <item x="19"/>
        <item x="22"/>
        <item x="16"/>
        <item x="1"/>
        <item x="6"/>
        <item x="38"/>
        <item x="12"/>
        <item x="36"/>
        <item x="43"/>
        <item x="32"/>
        <item t="default"/>
      </items>
    </pivotField>
    <pivotField showAll="0"/>
    <pivotField showAll="0"/>
    <pivotField showAll="0"/>
    <pivotField dataField="1" showAll="0"/>
    <pivotField dataField="1" showAll="0">
      <items count="38">
        <item x="12"/>
        <item x="26"/>
        <item x="33"/>
        <item x="9"/>
        <item x="4"/>
        <item x="24"/>
        <item x="16"/>
        <item x="21"/>
        <item x="3"/>
        <item x="11"/>
        <item x="10"/>
        <item x="13"/>
        <item x="35"/>
        <item x="15"/>
        <item x="20"/>
        <item x="5"/>
        <item x="14"/>
        <item x="0"/>
        <item x="8"/>
        <item x="7"/>
        <item x="25"/>
        <item x="1"/>
        <item x="23"/>
        <item x="29"/>
        <item x="34"/>
        <item x="19"/>
        <item x="31"/>
        <item x="27"/>
        <item x="32"/>
        <item x="18"/>
        <item x="6"/>
        <item x="2"/>
        <item x="22"/>
        <item x="30"/>
        <item x="36"/>
        <item x="28"/>
        <item x="17"/>
        <item t="default"/>
      </items>
    </pivotField>
    <pivotField numFmtId="164" showAll="0"/>
    <pivotField dataField="1" numFmtId="164" showAll="0"/>
    <pivotField showAll="0"/>
    <pivotField showAll="0"/>
    <pivotField showAll="0"/>
    <pivotField showAll="0"/>
    <pivotField showAll="0"/>
  </pivotFields>
  <rowFields count="1">
    <field x="0"/>
  </rowFields>
  <rowItems count="59">
    <i>
      <x v="19"/>
    </i>
    <i>
      <x v="34"/>
    </i>
    <i>
      <x v="39"/>
    </i>
    <i>
      <x v="52"/>
    </i>
    <i>
      <x v="27"/>
    </i>
    <i>
      <x v="2"/>
    </i>
    <i>
      <x v="48"/>
    </i>
    <i>
      <x v="6"/>
    </i>
    <i>
      <x v="35"/>
    </i>
    <i>
      <x v="20"/>
    </i>
    <i>
      <x v="53"/>
    </i>
    <i>
      <x v="42"/>
    </i>
    <i>
      <x v="32"/>
    </i>
    <i>
      <x v="40"/>
    </i>
    <i>
      <x v="56"/>
    </i>
    <i>
      <x v="21"/>
    </i>
    <i>
      <x v="46"/>
    </i>
    <i>
      <x v="36"/>
    </i>
    <i>
      <x v="45"/>
    </i>
    <i>
      <x v="28"/>
    </i>
    <i>
      <x v="11"/>
    </i>
    <i>
      <x v="1"/>
    </i>
    <i>
      <x v="30"/>
    </i>
    <i>
      <x v="7"/>
    </i>
    <i>
      <x v="33"/>
    </i>
    <i>
      <x v="8"/>
    </i>
    <i>
      <x/>
    </i>
    <i>
      <x v="16"/>
    </i>
    <i>
      <x v="13"/>
    </i>
    <i>
      <x v="5"/>
    </i>
    <i>
      <x v="22"/>
    </i>
    <i>
      <x v="26"/>
    </i>
    <i>
      <x v="17"/>
    </i>
    <i>
      <x v="54"/>
    </i>
    <i>
      <x v="47"/>
    </i>
    <i>
      <x v="50"/>
    </i>
    <i>
      <x v="15"/>
    </i>
    <i>
      <x v="41"/>
    </i>
    <i>
      <x v="38"/>
    </i>
    <i>
      <x v="10"/>
    </i>
    <i>
      <x v="24"/>
    </i>
    <i>
      <x v="25"/>
    </i>
    <i>
      <x v="12"/>
    </i>
    <i>
      <x v="3"/>
    </i>
    <i>
      <x v="23"/>
    </i>
    <i>
      <x v="55"/>
    </i>
    <i>
      <x v="18"/>
    </i>
    <i>
      <x v="37"/>
    </i>
    <i>
      <x v="29"/>
    </i>
    <i>
      <x v="49"/>
    </i>
    <i>
      <x v="4"/>
    </i>
    <i>
      <x v="57"/>
    </i>
    <i>
      <x v="9"/>
    </i>
    <i>
      <x v="43"/>
    </i>
    <i>
      <x v="44"/>
    </i>
    <i>
      <x v="51"/>
    </i>
    <i>
      <x v="31"/>
    </i>
    <i>
      <x v="14"/>
    </i>
    <i t="grand">
      <x/>
    </i>
  </rowItems>
  <colFields count="1">
    <field x="-2"/>
  </colFields>
  <colItems count="4">
    <i>
      <x/>
    </i>
    <i i="1">
      <x v="1"/>
    </i>
    <i i="2">
      <x v="2"/>
    </i>
    <i i="3">
      <x v="3"/>
    </i>
  </colItems>
  <dataFields count="4">
    <dataField name="  CALORIES BURNT " fld="8" baseField="0" baseItem="19"/>
    <dataField name=" STEPS" fld="3" baseField="0" baseItem="19"/>
    <dataField name="WORKOUT DURATION" fld="7" baseField="0" baseItem="19"/>
    <dataField name=" WATER(L)" fld="10" baseField="0" baseItem="19"/>
  </dataFields>
  <formats count="20">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outline="0" axis="axisValues" fieldPosition="0"/>
    </format>
    <format dxfId="96">
      <pivotArea dataOnly="0" labelOnly="1" fieldPosition="0">
        <references count="1">
          <reference field="0" count="50">
            <x v="0"/>
            <x v="1"/>
            <x v="2"/>
            <x v="3"/>
            <x v="5"/>
            <x v="6"/>
            <x v="7"/>
            <x v="8"/>
            <x v="10"/>
            <x v="11"/>
            <x v="12"/>
            <x v="13"/>
            <x v="15"/>
            <x v="16"/>
            <x v="17"/>
            <x v="18"/>
            <x v="19"/>
            <x v="20"/>
            <x v="21"/>
            <x v="22"/>
            <x v="23"/>
            <x v="24"/>
            <x v="25"/>
            <x v="26"/>
            <x v="27"/>
            <x v="28"/>
            <x v="29"/>
            <x v="30"/>
            <x v="32"/>
            <x v="33"/>
            <x v="34"/>
            <x v="35"/>
            <x v="36"/>
            <x v="37"/>
            <x v="38"/>
            <x v="39"/>
            <x v="40"/>
            <x v="41"/>
            <x v="42"/>
            <x v="45"/>
            <x v="46"/>
            <x v="47"/>
            <x v="48"/>
            <x v="49"/>
            <x v="50"/>
            <x v="52"/>
            <x v="53"/>
            <x v="54"/>
            <x v="55"/>
            <x v="56"/>
          </reference>
        </references>
      </pivotArea>
    </format>
    <format dxfId="95">
      <pivotArea dataOnly="0" labelOnly="1" fieldPosition="0">
        <references count="1">
          <reference field="0" count="8">
            <x v="4"/>
            <x v="9"/>
            <x v="14"/>
            <x v="31"/>
            <x v="43"/>
            <x v="44"/>
            <x v="51"/>
            <x v="57"/>
          </reference>
        </references>
      </pivotArea>
    </format>
    <format dxfId="94">
      <pivotArea dataOnly="0" labelOnly="1" grandRow="1" outline="0" fieldPosition="0"/>
    </format>
    <format dxfId="93">
      <pivotArea dataOnly="0" labelOnly="1" fieldPosition="0">
        <references count="1">
          <reference field="0" count="3">
            <x v="19"/>
            <x v="34"/>
            <x v="39"/>
          </reference>
        </references>
      </pivotArea>
    </format>
    <format dxfId="92">
      <pivotArea dataOnly="0" labelOnly="1" fieldPosition="0">
        <references count="1">
          <reference field="0" count="3">
            <x v="19"/>
            <x v="34"/>
            <x v="39"/>
          </reference>
        </references>
      </pivotArea>
    </format>
    <format dxfId="91">
      <pivotArea collapsedLevelsAreSubtotals="1" fieldPosition="0">
        <references count="2">
          <reference field="4294967294" count="3" selected="0">
            <x v="1"/>
            <x v="2"/>
            <x v="3"/>
          </reference>
          <reference field="0" count="4">
            <x v="19"/>
            <x v="34"/>
            <x v="39"/>
            <x v="52"/>
          </reference>
        </references>
      </pivotArea>
    </format>
    <format dxfId="90">
      <pivotArea collapsedLevelsAreSubtotals="1" fieldPosition="0">
        <references count="2">
          <reference field="4294967294" count="3" selected="0">
            <x v="1"/>
            <x v="2"/>
            <x v="3"/>
          </reference>
          <reference field="0" count="4">
            <x v="19"/>
            <x v="34"/>
            <x v="39"/>
            <x v="52"/>
          </reference>
        </references>
      </pivotArea>
    </format>
    <format dxfId="89">
      <pivotArea collapsedLevelsAreSubtotals="1" fieldPosition="0">
        <references count="2">
          <reference field="4294967294" count="3" selected="0">
            <x v="1"/>
            <x v="2"/>
            <x v="3"/>
          </reference>
          <reference field="0" count="1">
            <x v="52"/>
          </reference>
        </references>
      </pivotArea>
    </format>
    <format dxfId="88">
      <pivotArea collapsedLevelsAreSubtotals="1" fieldPosition="0">
        <references count="2">
          <reference field="4294967294" count="3" selected="0">
            <x v="1"/>
            <x v="2"/>
            <x v="3"/>
          </reference>
          <reference field="0" count="1">
            <x v="52"/>
          </reference>
        </references>
      </pivotArea>
    </format>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50">
            <x v="0"/>
            <x v="1"/>
            <x v="2"/>
            <x v="3"/>
            <x v="5"/>
            <x v="6"/>
            <x v="7"/>
            <x v="8"/>
            <x v="10"/>
            <x v="11"/>
            <x v="12"/>
            <x v="13"/>
            <x v="15"/>
            <x v="16"/>
            <x v="17"/>
            <x v="18"/>
            <x v="19"/>
            <x v="20"/>
            <x v="21"/>
            <x v="22"/>
            <x v="23"/>
            <x v="24"/>
            <x v="25"/>
            <x v="26"/>
            <x v="27"/>
            <x v="28"/>
            <x v="29"/>
            <x v="30"/>
            <x v="32"/>
            <x v="33"/>
            <x v="34"/>
            <x v="35"/>
            <x v="36"/>
            <x v="37"/>
            <x v="38"/>
            <x v="39"/>
            <x v="40"/>
            <x v="41"/>
            <x v="42"/>
            <x v="45"/>
            <x v="46"/>
            <x v="47"/>
            <x v="48"/>
            <x v="49"/>
            <x v="50"/>
            <x v="52"/>
            <x v="53"/>
            <x v="54"/>
            <x v="55"/>
            <x v="56"/>
          </reference>
        </references>
      </pivotArea>
    </format>
    <format dxfId="83">
      <pivotArea dataOnly="0" labelOnly="1" fieldPosition="0">
        <references count="1">
          <reference field="0" count="8">
            <x v="4"/>
            <x v="9"/>
            <x v="14"/>
            <x v="31"/>
            <x v="43"/>
            <x v="44"/>
            <x v="51"/>
            <x v="57"/>
          </reference>
        </references>
      </pivotArea>
    </format>
    <format dxfId="82">
      <pivotArea dataOnly="0" labelOnly="1" grandRow="1" outline="0" fieldPosition="0"/>
    </format>
    <format dxfId="81">
      <pivotArea dataOnly="0" labelOnly="1" outline="0" fieldPosition="0">
        <references count="1">
          <reference field="4294967294" count="4">
            <x v="0"/>
            <x v="1"/>
            <x v="2"/>
            <x v="3"/>
          </reference>
        </references>
      </pivotArea>
    </format>
  </formats>
  <conditionalFormats count="2">
    <conditionalFormat priority="4">
      <pivotAreas count="1">
        <pivotArea type="data" collapsedLevelsAreSubtotals="1" fieldPosition="0">
          <references count="2">
            <reference field="4294967294" count="1" selected="0">
              <x v="0"/>
            </reference>
            <reference field="0" count="1">
              <x v="19"/>
            </reference>
          </references>
        </pivotArea>
      </pivotAreas>
    </conditionalFormat>
    <conditionalFormat priority="3">
      <pivotAreas count="1">
        <pivotArea type="data" collapsedLevelsAreSubtotals="1" fieldPosition="0">
          <references count="2">
            <reference field="4294967294" count="1" selected="0">
              <x v="0"/>
            </reference>
            <reference field="0" count="4">
              <x v="19"/>
              <x v="34"/>
              <x v="39"/>
              <x v="5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DAYS">
  <location ref="D3:E10" firstHeaderRow="1" firstDataRow="1" firstDataCol="1"/>
  <pivotFields count="10">
    <pivotField numFmtId="14" showAll="0"/>
    <pivotField axis="axisRow" showAll="0">
      <items count="7">
        <item x="5"/>
        <item x="0"/>
        <item x="1"/>
        <item x="3"/>
        <item x="4"/>
        <item x="2"/>
        <item t="default"/>
      </items>
    </pivotField>
    <pivotField showAll="0"/>
    <pivotField showAll="0"/>
    <pivotField showAll="0">
      <items count="12">
        <item x="3"/>
        <item x="6"/>
        <item x="9"/>
        <item x="0"/>
        <item x="8"/>
        <item x="5"/>
        <item x="4"/>
        <item x="10"/>
        <item x="1"/>
        <item x="7"/>
        <item x="2"/>
        <item t="default"/>
      </items>
    </pivotField>
    <pivotField showAll="0"/>
    <pivotField showAll="0"/>
    <pivotField dataField="1" showAll="0">
      <items count="38">
        <item x="12"/>
        <item x="15"/>
        <item x="33"/>
        <item x="9"/>
        <item x="4"/>
        <item x="25"/>
        <item x="17"/>
        <item x="22"/>
        <item x="3"/>
        <item x="11"/>
        <item x="10"/>
        <item x="13"/>
        <item x="35"/>
        <item x="16"/>
        <item x="21"/>
        <item x="5"/>
        <item x="14"/>
        <item x="0"/>
        <item x="8"/>
        <item x="7"/>
        <item x="26"/>
        <item x="1"/>
        <item x="24"/>
        <item x="29"/>
        <item x="34"/>
        <item x="20"/>
        <item x="31"/>
        <item x="27"/>
        <item x="32"/>
        <item x="19"/>
        <item x="6"/>
        <item x="2"/>
        <item x="23"/>
        <item x="30"/>
        <item x="36"/>
        <item x="28"/>
        <item x="18"/>
        <item t="default"/>
      </items>
    </pivotField>
    <pivotField numFmtId="164" showAll="0">
      <items count="29">
        <item x="25"/>
        <item x="23"/>
        <item x="18"/>
        <item x="15"/>
        <item x="27"/>
        <item x="24"/>
        <item x="22"/>
        <item x="19"/>
        <item x="21"/>
        <item x="17"/>
        <item x="10"/>
        <item x="13"/>
        <item x="6"/>
        <item x="2"/>
        <item x="11"/>
        <item x="9"/>
        <item x="16"/>
        <item x="0"/>
        <item x="14"/>
        <item x="7"/>
        <item x="4"/>
        <item x="3"/>
        <item x="8"/>
        <item x="1"/>
        <item x="12"/>
        <item x="5"/>
        <item x="20"/>
        <item x="26"/>
        <item t="default"/>
      </items>
    </pivotField>
    <pivotField numFmtId="164" showAll="0"/>
  </pivotFields>
  <rowFields count="1">
    <field x="1"/>
  </rowFields>
  <rowItems count="7">
    <i>
      <x/>
    </i>
    <i>
      <x v="1"/>
    </i>
    <i>
      <x v="2"/>
    </i>
    <i>
      <x v="3"/>
    </i>
    <i>
      <x v="4"/>
    </i>
    <i>
      <x v="5"/>
    </i>
    <i t="grand">
      <x/>
    </i>
  </rowItems>
  <colItems count="1">
    <i/>
  </colItems>
  <dataFields count="1">
    <dataField name="Sum of CALORIES BURNT " fld="7" baseField="0" baseItem="0"/>
  </dataFields>
  <formats count="14">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outline="0" axis="axisValues" fieldPosition="0"/>
    </format>
    <format dxfId="29">
      <pivotArea dataOnly="0" labelOnly="1" fieldPosition="0">
        <references count="1">
          <reference field="1" count="0"/>
        </references>
      </pivotArea>
    </format>
    <format dxfId="28">
      <pivotArea dataOnly="0" labelOnly="1" grandRow="1" outline="0"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outline="0" axis="axisValues" fieldPosition="0"/>
    </format>
    <format dxfId="23">
      <pivotArea dataOnly="0" labelOnly="1" fieldPosition="0">
        <references count="1">
          <reference field="1" count="0"/>
        </references>
      </pivotArea>
    </format>
    <format dxfId="22">
      <pivotArea dataOnly="0" labelOnly="1" grandRow="1" outline="0" fieldPosition="0"/>
    </format>
    <format dxfId="21">
      <pivotArea field="1" type="button" dataOnly="0" labelOnly="1" outline="0" axis="axisRow" fieldPosition="0"/>
    </format>
    <format dxfId="20">
      <pivotArea dataOnly="0" labelOnly="1" outline="0" axis="axisValues" fieldPosition="0"/>
    </format>
  </formats>
  <chartFormats count="7">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2">
          <reference field="4294967294" count="1" selected="0">
            <x v="0"/>
          </reference>
          <reference field="1" count="1" selected="0">
            <x v="2"/>
          </reference>
        </references>
      </pivotArea>
    </chartFormat>
    <chartFormat chart="12" format="12">
      <pivotArea type="data" outline="0" fieldPosition="0">
        <references count="2">
          <reference field="4294967294" count="1" selected="0">
            <x v="0"/>
          </reference>
          <reference field="1" count="1" selected="0">
            <x v="3"/>
          </reference>
        </references>
      </pivotArea>
    </chartFormat>
    <chartFormat chart="12" format="13">
      <pivotArea type="data" outline="0" fieldPosition="0">
        <references count="2">
          <reference field="4294967294" count="1" selected="0">
            <x v="0"/>
          </reference>
          <reference field="1" count="1" selected="0">
            <x v="4"/>
          </reference>
        </references>
      </pivotArea>
    </chartFormat>
    <chartFormat chart="12"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STATUS">
  <location ref="A17:B20" firstHeaderRow="1" firstDataRow="1" firstDataCol="1"/>
  <pivotFields count="15">
    <pivotField numFmtId="14" showAll="0"/>
    <pivotField showAll="0">
      <items count="7">
        <item x="5"/>
        <item x="0"/>
        <item x="1"/>
        <item x="3"/>
        <item x="4"/>
        <item x="2"/>
        <item t="default"/>
      </items>
    </pivotField>
    <pivotField showAll="0"/>
    <pivotField showAll="0"/>
    <pivotField showAll="0">
      <items count="12">
        <item x="3"/>
        <item x="6"/>
        <item x="9"/>
        <item x="0"/>
        <item x="8"/>
        <item x="5"/>
        <item x="4"/>
        <item x="10"/>
        <item x="1"/>
        <item x="7"/>
        <item x="2"/>
        <item t="default"/>
      </items>
    </pivotField>
    <pivotField showAll="0"/>
    <pivotField showAll="0"/>
    <pivotField showAll="0">
      <items count="38">
        <item x="12"/>
        <item x="15"/>
        <item x="33"/>
        <item x="9"/>
        <item x="4"/>
        <item x="25"/>
        <item x="17"/>
        <item x="22"/>
        <item x="3"/>
        <item x="11"/>
        <item x="10"/>
        <item x="13"/>
        <item x="35"/>
        <item x="16"/>
        <item x="21"/>
        <item x="5"/>
        <item x="14"/>
        <item x="0"/>
        <item x="8"/>
        <item x="7"/>
        <item x="26"/>
        <item x="1"/>
        <item x="24"/>
        <item x="29"/>
        <item x="34"/>
        <item x="20"/>
        <item x="31"/>
        <item x="27"/>
        <item x="32"/>
        <item x="19"/>
        <item x="6"/>
        <item x="2"/>
        <item x="23"/>
        <item x="30"/>
        <item x="36"/>
        <item x="28"/>
        <item x="18"/>
        <item t="default"/>
      </items>
    </pivotField>
    <pivotField dataField="1" numFmtId="164" showAll="0"/>
    <pivotField numFmtId="164" showAll="0"/>
    <pivotField showAll="0"/>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Average of SLEEP(hrs)" fld="8" subtotal="average" baseField="14" baseItem="0"/>
  </dataFields>
  <formats count="13">
    <format dxfId="46">
      <pivotArea type="all" dataOnly="0" outline="0" fieldPosition="0"/>
    </format>
    <format dxfId="45">
      <pivotArea outline="0" collapsedLevelsAreSubtotals="1" fieldPosition="0"/>
    </format>
    <format dxfId="44">
      <pivotArea field="14" type="button" dataOnly="0" labelOnly="1" outline="0" axis="axisRow" fieldPosition="0"/>
    </format>
    <format dxfId="43">
      <pivotArea dataOnly="0" labelOnly="1" outline="0" axis="axisValues" fieldPosition="0"/>
    </format>
    <format dxfId="42">
      <pivotArea dataOnly="0" labelOnly="1" fieldPosition="0">
        <references count="1">
          <reference field="14" count="0"/>
        </references>
      </pivotArea>
    </format>
    <format dxfId="41">
      <pivotArea dataOnly="0" labelOnly="1" grandRow="1" outline="0" fieldPosition="0"/>
    </format>
    <format dxfId="40">
      <pivotArea field="14" type="button" dataOnly="0" labelOnly="1" outline="0" axis="axisRow" fieldPosition="0"/>
    </format>
    <format dxfId="39">
      <pivotArea dataOnly="0" labelOnly="1" outline="0" axis="axisValues" fieldPosition="0"/>
    </format>
    <format dxfId="38">
      <pivotArea field="14" type="button" dataOnly="0" labelOnly="1" outline="0" axis="axisRow" fieldPosition="0"/>
    </format>
    <format dxfId="37">
      <pivotArea dataOnly="0" labelOnly="1" outline="0" axis="axisValues" fieldPosition="0"/>
    </format>
    <format dxfId="36">
      <pivotArea outline="0" collapsedLevelsAreSubtotals="1" fieldPosition="0"/>
    </format>
    <format dxfId="35">
      <pivotArea dataOnly="0" labelOnly="1" fieldPosition="0">
        <references count="1">
          <reference field="14" count="0"/>
        </references>
      </pivotArea>
    </format>
    <format dxfId="34">
      <pivotArea dataOnly="0" labelOnly="1" grandRow="1" outline="0" fieldPosition="0"/>
    </format>
  </formats>
  <conditionalFormats count="1">
    <conditionalFormat priority="3">
      <pivotAreas count="1">
        <pivotArea type="data" collapsedLevelsAreSubtotals="1" fieldPosition="0">
          <references count="2">
            <reference field="4294967294" count="1" selected="0">
              <x v="0"/>
            </reference>
            <reference field="14" count="2">
              <x v="0"/>
              <x v="1"/>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4" count="1" selected="0">
            <x v="0"/>
          </reference>
        </references>
      </pivotArea>
    </chartFormat>
    <chartFormat chart="3" format="5">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DAYS">
  <location ref="A3:B10" firstHeaderRow="1" firstDataRow="1" firstDataCol="1"/>
  <pivotFields count="10">
    <pivotField numFmtId="14" showAll="0"/>
    <pivotField axis="axisRow" showAll="0">
      <items count="7">
        <item x="5"/>
        <item x="0"/>
        <item x="1"/>
        <item x="3"/>
        <item x="4"/>
        <item x="2"/>
        <item t="default"/>
      </items>
    </pivotField>
    <pivotField dataField="1" showAll="0"/>
    <pivotField showAll="0"/>
    <pivotField showAll="0">
      <items count="12">
        <item x="3"/>
        <item x="6"/>
        <item x="9"/>
        <item x="0"/>
        <item x="8"/>
        <item x="5"/>
        <item x="4"/>
        <item x="10"/>
        <item x="1"/>
        <item x="7"/>
        <item x="2"/>
        <item t="default"/>
      </items>
    </pivotField>
    <pivotField showAll="0"/>
    <pivotField showAll="0"/>
    <pivotField showAll="0">
      <items count="38">
        <item x="12"/>
        <item x="15"/>
        <item x="33"/>
        <item x="9"/>
        <item x="4"/>
        <item x="25"/>
        <item x="17"/>
        <item x="22"/>
        <item x="3"/>
        <item x="11"/>
        <item x="10"/>
        <item x="13"/>
        <item x="35"/>
        <item x="16"/>
        <item x="21"/>
        <item x="5"/>
        <item x="14"/>
        <item x="0"/>
        <item x="8"/>
        <item x="7"/>
        <item x="26"/>
        <item x="1"/>
        <item x="24"/>
        <item x="29"/>
        <item x="34"/>
        <item x="20"/>
        <item x="31"/>
        <item x="27"/>
        <item x="32"/>
        <item x="19"/>
        <item x="6"/>
        <item x="2"/>
        <item x="23"/>
        <item x="30"/>
        <item x="36"/>
        <item x="28"/>
        <item x="18"/>
        <item t="default"/>
      </items>
    </pivotField>
    <pivotField numFmtId="164" showAll="0">
      <items count="29">
        <item x="25"/>
        <item x="23"/>
        <item x="18"/>
        <item x="15"/>
        <item x="27"/>
        <item x="24"/>
        <item x="22"/>
        <item x="19"/>
        <item x="21"/>
        <item x="17"/>
        <item x="10"/>
        <item x="13"/>
        <item x="6"/>
        <item x="2"/>
        <item x="11"/>
        <item x="9"/>
        <item x="16"/>
        <item x="0"/>
        <item x="14"/>
        <item x="7"/>
        <item x="4"/>
        <item x="3"/>
        <item x="8"/>
        <item x="1"/>
        <item x="12"/>
        <item x="5"/>
        <item x="20"/>
        <item x="26"/>
        <item t="default"/>
      </items>
    </pivotField>
    <pivotField numFmtId="164" showAll="0"/>
  </pivotFields>
  <rowFields count="1">
    <field x="1"/>
  </rowFields>
  <rowItems count="7">
    <i>
      <x/>
    </i>
    <i>
      <x v="1"/>
    </i>
    <i>
      <x v="2"/>
    </i>
    <i>
      <x v="3"/>
    </i>
    <i>
      <x v="4"/>
    </i>
    <i>
      <x v="5"/>
    </i>
    <i t="grand">
      <x/>
    </i>
  </rowItems>
  <colItems count="1">
    <i/>
  </colItems>
  <dataFields count="1">
    <dataField name="TOTAL STEPS" fld="2" baseField="0" baseItem="0"/>
  </dataFields>
  <formats count="14">
    <format dxfId="60">
      <pivotArea type="all" dataOnly="0" outline="0" fieldPosition="0"/>
    </format>
    <format dxfId="59">
      <pivotArea outline="0" collapsedLevelsAreSubtotals="1" fieldPosition="0"/>
    </format>
    <format dxfId="58">
      <pivotArea field="1" type="button" dataOnly="0" labelOnly="1" outline="0" axis="axisRow" fieldPosition="0"/>
    </format>
    <format dxfId="57">
      <pivotArea dataOnly="0" labelOnly="1" outline="0" axis="axisValues" fieldPosition="0"/>
    </format>
    <format dxfId="56">
      <pivotArea dataOnly="0" labelOnly="1" fieldPosition="0">
        <references count="1">
          <reference field="1" count="0"/>
        </references>
      </pivotArea>
    </format>
    <format dxfId="55">
      <pivotArea dataOnly="0" labelOnly="1" grandRow="1" outline="0" fieldPosition="0"/>
    </format>
    <format dxfId="54">
      <pivotArea type="all" dataOnly="0" outline="0" fieldPosition="0"/>
    </format>
    <format dxfId="53">
      <pivotArea outline="0" collapsedLevelsAreSubtotals="1" fieldPosition="0"/>
    </format>
    <format dxfId="52">
      <pivotArea field="1" type="button" dataOnly="0" labelOnly="1" outline="0" axis="axisRow" fieldPosition="0"/>
    </format>
    <format dxfId="51">
      <pivotArea dataOnly="0" labelOnly="1" outline="0" axis="axisValues" fieldPosition="0"/>
    </format>
    <format dxfId="50">
      <pivotArea dataOnly="0" labelOnly="1" fieldPosition="0">
        <references count="1">
          <reference field="1" count="0"/>
        </references>
      </pivotArea>
    </format>
    <format dxfId="49">
      <pivotArea dataOnly="0" labelOnly="1" grandRow="1" outline="0" fieldPosition="0"/>
    </format>
    <format dxfId="48">
      <pivotArea field="1" type="button" dataOnly="0" labelOnly="1" outline="0" axis="axisRow" fieldPosition="0"/>
    </format>
    <format dxfId="47">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1" count="6">
              <x v="0"/>
              <x v="1"/>
              <x v="2"/>
              <x v="3"/>
              <x v="4"/>
              <x v="5"/>
            </reference>
          </references>
        </pivotArea>
      </pivotAreas>
    </conditionalFormat>
  </conditional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DAYS">
  <location ref="G3:H15" firstHeaderRow="1" firstDataRow="1" firstDataCol="1"/>
  <pivotFields count="10">
    <pivotField numFmtId="14" showAll="0"/>
    <pivotField showAll="0">
      <items count="7">
        <item x="5"/>
        <item x="0"/>
        <item x="1"/>
        <item x="3"/>
        <item x="4"/>
        <item x="2"/>
        <item t="default"/>
      </items>
    </pivotField>
    <pivotField showAll="0"/>
    <pivotField showAll="0"/>
    <pivotField axis="axisRow" showAll="0">
      <items count="12">
        <item x="3"/>
        <item x="6"/>
        <item x="9"/>
        <item x="0"/>
        <item x="8"/>
        <item x="5"/>
        <item x="4"/>
        <item x="10"/>
        <item x="1"/>
        <item x="7"/>
        <item x="2"/>
        <item t="default"/>
      </items>
    </pivotField>
    <pivotField showAll="0"/>
    <pivotField dataField="1" showAll="0"/>
    <pivotField showAll="0">
      <items count="38">
        <item x="12"/>
        <item x="15"/>
        <item x="33"/>
        <item x="9"/>
        <item x="4"/>
        <item x="25"/>
        <item x="17"/>
        <item x="22"/>
        <item x="3"/>
        <item x="11"/>
        <item x="10"/>
        <item x="13"/>
        <item x="35"/>
        <item x="16"/>
        <item x="21"/>
        <item x="5"/>
        <item x="14"/>
        <item x="0"/>
        <item x="8"/>
        <item x="7"/>
        <item x="26"/>
        <item x="1"/>
        <item x="24"/>
        <item x="29"/>
        <item x="34"/>
        <item x="20"/>
        <item x="31"/>
        <item x="27"/>
        <item x="32"/>
        <item x="19"/>
        <item x="6"/>
        <item x="2"/>
        <item x="23"/>
        <item x="30"/>
        <item x="36"/>
        <item x="28"/>
        <item x="18"/>
        <item t="default"/>
      </items>
    </pivotField>
    <pivotField numFmtId="164" showAll="0">
      <items count="29">
        <item x="25"/>
        <item x="23"/>
        <item x="18"/>
        <item x="15"/>
        <item x="27"/>
        <item x="24"/>
        <item x="22"/>
        <item x="19"/>
        <item x="21"/>
        <item x="17"/>
        <item x="10"/>
        <item x="13"/>
        <item x="6"/>
        <item x="2"/>
        <item x="11"/>
        <item x="9"/>
        <item x="16"/>
        <item x="0"/>
        <item x="14"/>
        <item x="7"/>
        <item x="4"/>
        <item x="3"/>
        <item x="8"/>
        <item x="1"/>
        <item x="12"/>
        <item x="5"/>
        <item x="20"/>
        <item x="26"/>
        <item t="default"/>
      </items>
    </pivotField>
    <pivotField numFmtId="164" showAll="0"/>
  </pivotFields>
  <rowFields count="1">
    <field x="4"/>
  </rowFields>
  <rowItems count="12">
    <i>
      <x/>
    </i>
    <i>
      <x v="1"/>
    </i>
    <i>
      <x v="2"/>
    </i>
    <i>
      <x v="3"/>
    </i>
    <i>
      <x v="4"/>
    </i>
    <i>
      <x v="5"/>
    </i>
    <i>
      <x v="6"/>
    </i>
    <i>
      <x v="7"/>
    </i>
    <i>
      <x v="8"/>
    </i>
    <i>
      <x v="9"/>
    </i>
    <i>
      <x v="10"/>
    </i>
    <i t="grand">
      <x/>
    </i>
  </rowItems>
  <colItems count="1">
    <i/>
  </colItems>
  <dataFields count="1">
    <dataField name="Sum of DURATION" fld="6" baseField="0" baseItem="0"/>
  </dataFields>
  <formats count="12">
    <format dxfId="72">
      <pivotArea type="all" dataOnly="0" outline="0" fieldPosition="0"/>
    </format>
    <format dxfId="71">
      <pivotArea outline="0" collapsedLevelsAreSubtotals="1" fieldPosition="0"/>
    </format>
    <format dxfId="70">
      <pivotArea field="1" type="button" dataOnly="0" labelOnly="1" outline="0"/>
    </format>
    <format dxfId="69">
      <pivotArea dataOnly="0" labelOnly="1" outline="0" axis="axisValues" fieldPosition="0"/>
    </format>
    <format dxfId="68">
      <pivotArea dataOnly="0" labelOnly="1" grandRow="1" outline="0" fieldPosition="0"/>
    </format>
    <format dxfId="67">
      <pivotArea type="all" dataOnly="0" outline="0" fieldPosition="0"/>
    </format>
    <format dxfId="66">
      <pivotArea outline="0" collapsedLevelsAreSubtotals="1" fieldPosition="0"/>
    </format>
    <format dxfId="65">
      <pivotArea field="1" type="button" dataOnly="0" labelOnly="1" outline="0"/>
    </format>
    <format dxfId="64">
      <pivotArea dataOnly="0" labelOnly="1" outline="0" axis="axisValues" fieldPosition="0"/>
    </format>
    <format dxfId="63">
      <pivotArea dataOnly="0" labelOnly="1" grandRow="1" outline="0" fieldPosition="0"/>
    </format>
    <format dxfId="62">
      <pivotArea field="1" type="button" dataOnly="0" labelOnly="1" outline="0"/>
    </format>
    <format dxfId="61">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7" name="PivotTable2"/>
  </pivotTables>
  <data>
    <tabular pivotCacheId="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1" sourceName="DAY">
  <pivotTables>
    <pivotTable tabId="7" name="PivotTable1"/>
    <pivotTable tabId="7" name="PivotTable3"/>
    <pivotTable tabId="7" name="PivotTable5"/>
  </pivotTables>
  <data>
    <tabular pivotCacheId="2">
      <items count="6">
        <i x="5" s="1"/>
        <i x="0"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ORKOUT_TYPE" sourceName="WORKOUT TYPE">
  <pivotTables>
    <pivotTable tabId="7" name="PivotTable1"/>
    <pivotTable tabId="7" name="PivotTable3"/>
    <pivotTable tabId="7" name="PivotTable5"/>
  </pivotTables>
  <data>
    <tabular pivotCacheId="2">
      <items count="11">
        <i x="3" s="1"/>
        <i x="6" s="1"/>
        <i x="9" s="1"/>
        <i x="0" s="1"/>
        <i x="8" s="1"/>
        <i x="5" s="1"/>
        <i x="4" s="1"/>
        <i x="10" s="1"/>
        <i x="1" s="1"/>
        <i x="7"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LORIES_BURNT1" sourceName="CALORIES BURNT ">
  <pivotTables>
    <pivotTable tabId="7" name="PivotTable1"/>
    <pivotTable tabId="7" name="PivotTable3"/>
    <pivotTable tabId="7" name="PivotTable5"/>
  </pivotTables>
  <data>
    <tabular pivotCacheId="2">
      <items count="37">
        <i x="12" s="1"/>
        <i x="15" s="1"/>
        <i x="33" s="1"/>
        <i x="9" s="1"/>
        <i x="4" s="1"/>
        <i x="25" s="1"/>
        <i x="17" s="1"/>
        <i x="22" s="1"/>
        <i x="3" s="1"/>
        <i x="11" s="1"/>
        <i x="10" s="1"/>
        <i x="13" s="1"/>
        <i x="35" s="1"/>
        <i x="16" s="1"/>
        <i x="21" s="1"/>
        <i x="5" s="1"/>
        <i x="14" s="1"/>
        <i x="0" s="1"/>
        <i x="8" s="1"/>
        <i x="7" s="1"/>
        <i x="26" s="1"/>
        <i x="1" s="1"/>
        <i x="24" s="1"/>
        <i x="29" s="1"/>
        <i x="34" s="1"/>
        <i x="20" s="1"/>
        <i x="31" s="1"/>
        <i x="27" s="1"/>
        <i x="32" s="1"/>
        <i x="19" s="1"/>
        <i x="6" s="1"/>
        <i x="2" s="1"/>
        <i x="23" s="1"/>
        <i x="30" s="1"/>
        <i x="36" s="1"/>
        <i x="28" s="1"/>
        <i x="1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LEEP_hrs" sourceName="SLEEP(hrs)">
  <pivotTables>
    <pivotTable tabId="7" name="PivotTable1"/>
    <pivotTable tabId="7" name="PivotTable3"/>
    <pivotTable tabId="7" name="PivotTable5"/>
  </pivotTables>
  <data>
    <tabular pivotCacheId="2">
      <items count="28">
        <i x="25" s="1"/>
        <i x="23" s="1"/>
        <i x="18" s="1"/>
        <i x="15" s="1"/>
        <i x="27" s="1"/>
        <i x="24" s="1"/>
        <i x="22" s="1"/>
        <i x="19" s="1"/>
        <i x="21" s="1"/>
        <i x="17" s="1"/>
        <i x="10" s="1"/>
        <i x="13" s="1"/>
        <i x="6" s="1"/>
        <i x="2" s="1"/>
        <i x="11" s="1"/>
        <i x="9" s="1"/>
        <i x="16" s="1"/>
        <i x="0" s="1"/>
        <i x="14" s="1"/>
        <i x="7" s="1"/>
        <i x="4" s="1"/>
        <i x="3" s="1"/>
        <i x="8" s="1"/>
        <i x="1" s="1"/>
        <i x="12" s="1"/>
        <i x="5" s="1"/>
        <i x="20"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US" cache="Slicer_STATUS" caption="STATU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Y 2" cache="Slicer_DAY1" caption="DAY" rowHeight="241300"/>
  <slicer name="WORKOUT TYPE 3" cache="Slicer_WORKOUT_TYPE" caption="WORKOUT TYPE" rowHeight="241300"/>
  <slicer name="CALORIES BURNT  2" cache="Slicer_CALORIES_BURNT1" caption="CALORIES BURNT " rowHeight="241300"/>
  <slicer name="SLEEP(hrs) 1" cache="Slicer_SLEEP_hrs" caption="SLEEP(hrs)" rowHeight="241300"/>
</slicers>
</file>

<file path=xl/tables/table1.xml><?xml version="1.0" encoding="utf-8"?>
<table xmlns="http://schemas.openxmlformats.org/spreadsheetml/2006/main" id="1" name="Table1" displayName="Table1" ref="A2:P61" totalsRowShown="0" headerRowDxfId="122" dataDxfId="121">
  <autoFilter ref="A2:P61"/>
  <sortState ref="A3:P61">
    <sortCondition ref="A3"/>
  </sortState>
  <tableColumns count="16">
    <tableColumn id="1" name="NAME" dataDxfId="120"/>
    <tableColumn id="2" name="DATE" dataDxfId="119"/>
    <tableColumn id="3" name="DAY" dataDxfId="118">
      <calculatedColumnFormula>TEXT(B3,"dddd")</calculatedColumnFormula>
    </tableColumn>
    <tableColumn id="4" name="STEPS" dataDxfId="117"/>
    <tableColumn id="5" name="MOOD" dataDxfId="116"/>
    <tableColumn id="6" name="WORKOUT TYPE" dataDxfId="115"/>
    <tableColumn id="7" name="CALORIES BURNT/MIN" dataDxfId="114"/>
    <tableColumn id="8" name="DURATION" dataDxfId="113"/>
    <tableColumn id="9" name="CALORIES BURNT " dataDxfId="112">
      <calculatedColumnFormula>IF(ISBLANK(Table1[[#This Row],[DURATION]])," ",G3*H3)</calculatedColumnFormula>
    </tableColumn>
    <tableColumn id="10" name="SLEEP(hrs)" dataDxfId="111"/>
    <tableColumn id="11" name="WATER(L)" dataDxfId="110"/>
    <tableColumn id="12" name="WEIGHT(Kg)" dataDxfId="109"/>
    <tableColumn id="13" name="HEIGHT(Cm)" dataDxfId="108"/>
    <tableColumn id="14" name="BMI" dataDxfId="107">
      <calculatedColumnFormula>ROUND(L3/((M3/100)^2),0)</calculatedColumnFormula>
    </tableColumn>
    <tableColumn id="15" name="CATEGORY" dataDxfId="106">
      <calculatedColumnFormula>IF(N3&lt;18,"UNDERWEIGHT",IF(N3&lt;25,"NORMAL",IF(N3&lt;30,"OVERWEIGHT","OBESE")))</calculatedColumnFormula>
    </tableColumn>
    <tableColumn id="16" name="STATUS" dataDxfId="105">
      <calculatedColumnFormula>IF(D3&gt;=7000,"ACTIVE","IN ACTIVE")</calculatedColumnFormula>
    </tableColumn>
  </tableColumns>
  <tableStyleInfo name="TableStyleLight9" showFirstColumn="0" showLastColumn="0" showRowStripes="1" showColumnStripes="0"/>
</table>
</file>

<file path=xl/tables/table2.xml><?xml version="1.0" encoding="utf-8"?>
<table xmlns="http://schemas.openxmlformats.org/spreadsheetml/2006/main" id="4" name="Table4" displayName="Table4" ref="B26:E29" totalsRowShown="0" headerRowDxfId="80" headerRowBorderDxfId="79" tableBorderDxfId="78" totalsRowBorderDxfId="77">
  <autoFilter ref="B26:E29"/>
  <tableColumns count="4">
    <tableColumn id="1" name="NAMES" dataDxfId="76"/>
    <tableColumn id="2" name="CALORIES BURNT " dataDxfId="75"/>
    <tableColumn id="3" name="STEPS" dataDxfId="74"/>
    <tableColumn id="4" name=" DURATION" dataDxfId="73"/>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zoomScale="51" zoomScaleNormal="51" workbookViewId="0">
      <selection activeCell="T18" sqref="T18"/>
    </sheetView>
  </sheetViews>
  <sheetFormatPr defaultRowHeight="15" x14ac:dyDescent="0.25"/>
  <cols>
    <col min="1" max="1" width="14.85546875" bestFit="1" customWidth="1"/>
    <col min="2" max="2" width="14" customWidth="1"/>
    <col min="3" max="3" width="12.7109375" customWidth="1"/>
    <col min="4" max="4" width="11.7109375" bestFit="1" customWidth="1"/>
    <col min="5" max="5" width="15.28515625" bestFit="1" customWidth="1"/>
    <col min="6" max="6" width="20.7109375" bestFit="1" customWidth="1"/>
    <col min="7" max="7" width="20.28515625" bestFit="1" customWidth="1"/>
    <col min="8" max="8" width="19.85546875" customWidth="1"/>
    <col min="9" max="9" width="27.85546875" customWidth="1"/>
    <col min="10" max="10" width="20.85546875" customWidth="1"/>
    <col min="11" max="11" width="18.7109375" customWidth="1"/>
    <col min="12" max="12" width="22.140625" customWidth="1"/>
    <col min="13" max="13" width="20.7109375" customWidth="1"/>
    <col min="14" max="14" width="10.85546875" customWidth="1"/>
    <col min="15" max="15" width="15.85546875" bestFit="1" customWidth="1"/>
    <col min="16" max="16" width="14.28515625" customWidth="1"/>
  </cols>
  <sheetData>
    <row r="1" spans="1:16" ht="18" customHeight="1" x14ac:dyDescent="0.35">
      <c r="A1" s="54" t="s">
        <v>2</v>
      </c>
      <c r="B1" s="54"/>
      <c r="C1" s="54"/>
      <c r="D1" s="54"/>
      <c r="E1" s="54"/>
      <c r="F1" s="54"/>
      <c r="G1" s="54"/>
      <c r="H1" s="54"/>
      <c r="I1" s="54"/>
      <c r="J1" s="54"/>
      <c r="K1" s="54"/>
      <c r="L1" s="54"/>
      <c r="M1" s="54"/>
      <c r="N1" s="54"/>
      <c r="O1" s="54"/>
      <c r="P1" s="54"/>
    </row>
    <row r="2" spans="1:16" ht="24.75" customHeight="1" x14ac:dyDescent="0.25">
      <c r="A2" s="1" t="s">
        <v>3</v>
      </c>
      <c r="B2" s="1" t="s">
        <v>0</v>
      </c>
      <c r="C2" s="1" t="s">
        <v>1</v>
      </c>
      <c r="D2" s="1" t="s">
        <v>4</v>
      </c>
      <c r="E2" s="1" t="s">
        <v>8</v>
      </c>
      <c r="F2" s="1" t="s">
        <v>5</v>
      </c>
      <c r="G2" s="5" t="s">
        <v>88</v>
      </c>
      <c r="H2" s="1" t="s">
        <v>10</v>
      </c>
      <c r="I2" s="1" t="s">
        <v>79</v>
      </c>
      <c r="J2" s="1" t="s">
        <v>11</v>
      </c>
      <c r="K2" s="1" t="s">
        <v>78</v>
      </c>
      <c r="L2" s="1" t="s">
        <v>6</v>
      </c>
      <c r="M2" s="1" t="s">
        <v>80</v>
      </c>
      <c r="N2" s="1" t="s">
        <v>9</v>
      </c>
      <c r="O2" s="1" t="s">
        <v>81</v>
      </c>
      <c r="P2" s="1" t="s">
        <v>7</v>
      </c>
    </row>
    <row r="3" spans="1:16" x14ac:dyDescent="0.25">
      <c r="A3" s="1" t="s">
        <v>13</v>
      </c>
      <c r="B3" s="2">
        <v>45833</v>
      </c>
      <c r="C3" s="1" t="str">
        <f t="shared" ref="C3:C34" si="0">TEXT(B3,"dddd")</f>
        <v>Wednesday</v>
      </c>
      <c r="D3" s="1">
        <v>10000</v>
      </c>
      <c r="E3" s="1" t="s">
        <v>64</v>
      </c>
      <c r="F3" s="1" t="s">
        <v>68</v>
      </c>
      <c r="G3" s="1">
        <v>8</v>
      </c>
      <c r="H3" s="1">
        <v>40</v>
      </c>
      <c r="I3" s="1">
        <f>IF(ISBLANK(Table1[[#This Row],[DURATION]])," ",G3*H3)</f>
        <v>320</v>
      </c>
      <c r="J3" s="3">
        <v>6.5</v>
      </c>
      <c r="K3" s="3">
        <v>2</v>
      </c>
      <c r="L3" s="1">
        <v>52</v>
      </c>
      <c r="M3" s="1">
        <v>155</v>
      </c>
      <c r="N3" s="1">
        <f t="shared" ref="N3:N34" si="1">ROUND(L3/((M3/100)^2),0)</f>
        <v>22</v>
      </c>
      <c r="O3" s="1" t="str">
        <f t="shared" ref="O3:O34" si="2">IF(N3&lt;18,"UNDERWEIGHT",IF(N3&lt;25,"NORMAL",IF(N3&lt;30,"OVERWEIGHT","OBESE")))</f>
        <v>NORMAL</v>
      </c>
      <c r="P3" s="1" t="str">
        <f t="shared" ref="P3:P34" si="3">IF(D3&gt;=7000,"ACTIVE","IN ACTIVE")</f>
        <v>ACTIVE</v>
      </c>
    </row>
    <row r="4" spans="1:16" x14ac:dyDescent="0.25">
      <c r="A4" s="1" t="s">
        <v>12</v>
      </c>
      <c r="B4" s="2">
        <v>45833</v>
      </c>
      <c r="C4" s="1" t="str">
        <f t="shared" si="0"/>
        <v>Wednesday</v>
      </c>
      <c r="D4" s="1">
        <v>12500</v>
      </c>
      <c r="E4" s="1" t="s">
        <v>65</v>
      </c>
      <c r="F4" s="1" t="s">
        <v>69</v>
      </c>
      <c r="G4" s="1">
        <v>7</v>
      </c>
      <c r="H4" s="1">
        <v>50</v>
      </c>
      <c r="I4" s="1">
        <f>IF(ISBLANK(Table1[[#This Row],[DURATION]])," ",G4*H4)</f>
        <v>350</v>
      </c>
      <c r="J4" s="3">
        <v>7.2</v>
      </c>
      <c r="K4" s="3">
        <v>2.5</v>
      </c>
      <c r="L4" s="1">
        <v>82</v>
      </c>
      <c r="M4" s="1">
        <v>175</v>
      </c>
      <c r="N4" s="1">
        <f t="shared" si="1"/>
        <v>27</v>
      </c>
      <c r="O4" s="1" t="str">
        <f t="shared" si="2"/>
        <v>OVERWEIGHT</v>
      </c>
      <c r="P4" s="1" t="str">
        <f t="shared" si="3"/>
        <v>ACTIVE</v>
      </c>
    </row>
    <row r="5" spans="1:16" x14ac:dyDescent="0.25">
      <c r="A5" s="1" t="s">
        <v>43</v>
      </c>
      <c r="B5" s="2">
        <v>45833</v>
      </c>
      <c r="C5" s="1" t="str">
        <f t="shared" si="0"/>
        <v>Wednesday</v>
      </c>
      <c r="D5" s="1">
        <v>5000</v>
      </c>
      <c r="E5" s="1" t="s">
        <v>66</v>
      </c>
      <c r="F5" s="1" t="s">
        <v>70</v>
      </c>
      <c r="G5" s="1">
        <v>8</v>
      </c>
      <c r="H5" s="1">
        <v>60</v>
      </c>
      <c r="I5" s="1">
        <f>IF(ISBLANK(Table1[[#This Row],[DURATION]])," ",G5*H5)</f>
        <v>480</v>
      </c>
      <c r="J5" s="3">
        <v>6</v>
      </c>
      <c r="K5" s="3">
        <v>1.8</v>
      </c>
      <c r="L5" s="1">
        <v>56</v>
      </c>
      <c r="M5" s="1">
        <v>160</v>
      </c>
      <c r="N5" s="1">
        <f t="shared" si="1"/>
        <v>22</v>
      </c>
      <c r="O5" s="1" t="str">
        <f t="shared" si="2"/>
        <v>NORMAL</v>
      </c>
      <c r="P5" s="1" t="str">
        <f t="shared" si="3"/>
        <v>IN ACTIVE</v>
      </c>
    </row>
    <row r="6" spans="1:16" x14ac:dyDescent="0.25">
      <c r="A6" s="1" t="s">
        <v>30</v>
      </c>
      <c r="B6" s="2">
        <v>45833</v>
      </c>
      <c r="C6" s="1" t="str">
        <f t="shared" si="0"/>
        <v>Wednesday</v>
      </c>
      <c r="D6" s="1">
        <v>7000</v>
      </c>
      <c r="E6" s="1" t="s">
        <v>67</v>
      </c>
      <c r="F6" s="1" t="s">
        <v>71</v>
      </c>
      <c r="G6" s="1">
        <v>6</v>
      </c>
      <c r="H6" s="1">
        <v>30</v>
      </c>
      <c r="I6" s="1">
        <f>IF(ISBLANK(Table1[[#This Row],[DURATION]])," ",G6*H6)</f>
        <v>180</v>
      </c>
      <c r="J6" s="3">
        <v>7</v>
      </c>
      <c r="K6" s="3">
        <v>2.2999999999999998</v>
      </c>
      <c r="L6" s="1">
        <v>79</v>
      </c>
      <c r="M6" s="1">
        <v>175</v>
      </c>
      <c r="N6" s="1">
        <f t="shared" si="1"/>
        <v>26</v>
      </c>
      <c r="O6" s="1" t="str">
        <f t="shared" si="2"/>
        <v>OVERWEIGHT</v>
      </c>
      <c r="P6" s="1" t="str">
        <f t="shared" si="3"/>
        <v>ACTIVE</v>
      </c>
    </row>
    <row r="7" spans="1:16" x14ac:dyDescent="0.25">
      <c r="A7" s="1" t="s">
        <v>26</v>
      </c>
      <c r="B7" s="2">
        <v>45833</v>
      </c>
      <c r="C7" s="1" t="str">
        <f t="shared" si="0"/>
        <v>Wednesday</v>
      </c>
      <c r="D7" s="1">
        <v>10260</v>
      </c>
      <c r="E7" s="1" t="s">
        <v>64</v>
      </c>
      <c r="F7" s="1" t="s">
        <v>72</v>
      </c>
      <c r="G7" s="1">
        <v>7</v>
      </c>
      <c r="H7" s="1">
        <v>20</v>
      </c>
      <c r="I7" s="1">
        <f>IF(ISBLANK(Table1[[#This Row],[DURATION]])," ",G7*H7)</f>
        <v>140</v>
      </c>
      <c r="J7" s="3">
        <v>6.8</v>
      </c>
      <c r="K7" s="3">
        <v>2.1</v>
      </c>
      <c r="L7" s="1">
        <v>63</v>
      </c>
      <c r="M7" s="1">
        <v>172</v>
      </c>
      <c r="N7" s="1">
        <f t="shared" si="1"/>
        <v>21</v>
      </c>
      <c r="O7" s="1" t="str">
        <f t="shared" si="2"/>
        <v>NORMAL</v>
      </c>
      <c r="P7" s="1" t="str">
        <f t="shared" si="3"/>
        <v>ACTIVE</v>
      </c>
    </row>
    <row r="8" spans="1:16" x14ac:dyDescent="0.25">
      <c r="A8" s="1" t="s">
        <v>86</v>
      </c>
      <c r="B8" s="2">
        <v>45833</v>
      </c>
      <c r="C8" s="1" t="str">
        <f t="shared" si="0"/>
        <v>Wednesday</v>
      </c>
      <c r="D8" s="1">
        <v>3700</v>
      </c>
      <c r="E8" s="1" t="s">
        <v>67</v>
      </c>
      <c r="F8" s="1" t="s">
        <v>76</v>
      </c>
      <c r="G8" s="1">
        <v>6</v>
      </c>
      <c r="H8" s="1">
        <v>48</v>
      </c>
      <c r="I8" s="6">
        <f>IF(ISBLANK(Table1[[#This Row],[DURATION]])," ",G8*H8)</f>
        <v>288</v>
      </c>
      <c r="J8" s="3">
        <v>7.2</v>
      </c>
      <c r="K8" s="3">
        <v>2.2000000000000002</v>
      </c>
      <c r="L8" s="1">
        <v>74</v>
      </c>
      <c r="M8" s="1">
        <v>132</v>
      </c>
      <c r="N8" s="1">
        <f t="shared" si="1"/>
        <v>42</v>
      </c>
      <c r="O8" s="1" t="str">
        <f t="shared" si="2"/>
        <v>OBESE</v>
      </c>
      <c r="P8" s="1" t="str">
        <f t="shared" si="3"/>
        <v>IN ACTIVE</v>
      </c>
    </row>
    <row r="9" spans="1:16" x14ac:dyDescent="0.25">
      <c r="A9" s="1" t="s">
        <v>16</v>
      </c>
      <c r="B9" s="2">
        <v>45833</v>
      </c>
      <c r="C9" s="1" t="str">
        <f t="shared" si="0"/>
        <v>Wednesday</v>
      </c>
      <c r="D9" s="1">
        <v>12600</v>
      </c>
      <c r="E9" s="1" t="s">
        <v>65</v>
      </c>
      <c r="F9" s="1" t="s">
        <v>73</v>
      </c>
      <c r="G9" s="1">
        <v>10</v>
      </c>
      <c r="H9" s="1">
        <v>45</v>
      </c>
      <c r="I9" s="1">
        <f>IF(ISBLANK(Table1[[#This Row],[DURATION]])," ",G9*H9)</f>
        <v>450</v>
      </c>
      <c r="J9" s="3">
        <v>7.4</v>
      </c>
      <c r="K9" s="3">
        <v>2.7</v>
      </c>
      <c r="L9" s="1">
        <v>48</v>
      </c>
      <c r="M9" s="1">
        <v>158</v>
      </c>
      <c r="N9" s="1">
        <f t="shared" si="1"/>
        <v>19</v>
      </c>
      <c r="O9" s="1" t="str">
        <f t="shared" si="2"/>
        <v>NORMAL</v>
      </c>
      <c r="P9" s="1" t="str">
        <f t="shared" si="3"/>
        <v>ACTIVE</v>
      </c>
    </row>
    <row r="10" spans="1:16" x14ac:dyDescent="0.25">
      <c r="A10" s="1" t="s">
        <v>31</v>
      </c>
      <c r="B10" s="2">
        <v>45833</v>
      </c>
      <c r="C10" s="1" t="str">
        <f t="shared" si="0"/>
        <v>Wednesday</v>
      </c>
      <c r="D10" s="1">
        <v>8900</v>
      </c>
      <c r="E10" s="1" t="s">
        <v>66</v>
      </c>
      <c r="F10" s="1" t="s">
        <v>74</v>
      </c>
      <c r="G10" s="1">
        <v>6</v>
      </c>
      <c r="H10" s="1">
        <v>55</v>
      </c>
      <c r="I10" s="1">
        <f>IF(ISBLANK(Table1[[#This Row],[DURATION]])," ",G10*H10)</f>
        <v>330</v>
      </c>
      <c r="J10" s="3">
        <v>5.9</v>
      </c>
      <c r="K10" s="3">
        <v>1.9</v>
      </c>
      <c r="L10" s="1">
        <v>48</v>
      </c>
      <c r="M10" s="1">
        <v>180</v>
      </c>
      <c r="N10" s="1">
        <f t="shared" si="1"/>
        <v>15</v>
      </c>
      <c r="O10" s="1" t="str">
        <f t="shared" si="2"/>
        <v>UNDERWEIGHT</v>
      </c>
      <c r="P10" s="1" t="str">
        <f t="shared" si="3"/>
        <v>ACTIVE</v>
      </c>
    </row>
    <row r="11" spans="1:16" x14ac:dyDescent="0.25">
      <c r="A11" s="1" t="s">
        <v>54</v>
      </c>
      <c r="B11" s="2">
        <v>45833</v>
      </c>
      <c r="C11" s="1" t="str">
        <f t="shared" si="0"/>
        <v>Wednesday</v>
      </c>
      <c r="D11" s="1">
        <v>7000</v>
      </c>
      <c r="E11" s="1" t="s">
        <v>67</v>
      </c>
      <c r="F11" s="1" t="s">
        <v>75</v>
      </c>
      <c r="G11" s="1">
        <v>5</v>
      </c>
      <c r="H11" s="1">
        <v>65</v>
      </c>
      <c r="I11" s="1">
        <f>IF(ISBLANK(Table1[[#This Row],[DURATION]])," ",G11*H11)</f>
        <v>325</v>
      </c>
      <c r="J11" s="3">
        <v>6.7</v>
      </c>
      <c r="K11" s="3">
        <v>2.4</v>
      </c>
      <c r="L11" s="1">
        <v>85</v>
      </c>
      <c r="M11" s="1">
        <v>150</v>
      </c>
      <c r="N11" s="1">
        <f t="shared" si="1"/>
        <v>38</v>
      </c>
      <c r="O11" s="1" t="str">
        <f t="shared" si="2"/>
        <v>OBESE</v>
      </c>
      <c r="P11" s="1" t="str">
        <f t="shared" si="3"/>
        <v>ACTIVE</v>
      </c>
    </row>
    <row r="12" spans="1:16" x14ac:dyDescent="0.25">
      <c r="A12" s="1" t="s">
        <v>55</v>
      </c>
      <c r="B12" s="2">
        <v>45834</v>
      </c>
      <c r="C12" s="1" t="str">
        <f t="shared" si="0"/>
        <v>Thursday</v>
      </c>
      <c r="D12" s="1">
        <v>6600</v>
      </c>
      <c r="E12" s="1" t="s">
        <v>64</v>
      </c>
      <c r="F12" s="1" t="s">
        <v>76</v>
      </c>
      <c r="G12" s="1">
        <v>5</v>
      </c>
      <c r="H12" s="1">
        <v>25</v>
      </c>
      <c r="I12" s="1">
        <f>IF(ISBLANK(Table1[[#This Row],[DURATION]])," ",G12*H12)</f>
        <v>125</v>
      </c>
      <c r="J12" s="3">
        <v>6.8</v>
      </c>
      <c r="K12" s="3">
        <v>2</v>
      </c>
      <c r="L12" s="1">
        <v>60</v>
      </c>
      <c r="M12" s="1">
        <v>178</v>
      </c>
      <c r="N12" s="1">
        <f t="shared" si="1"/>
        <v>19</v>
      </c>
      <c r="O12" s="1" t="str">
        <f t="shared" si="2"/>
        <v>NORMAL</v>
      </c>
      <c r="P12" s="1" t="str">
        <f t="shared" si="3"/>
        <v>IN ACTIVE</v>
      </c>
    </row>
    <row r="13" spans="1:16" x14ac:dyDescent="0.25">
      <c r="A13" s="1" t="s">
        <v>61</v>
      </c>
      <c r="B13" s="2">
        <v>45834</v>
      </c>
      <c r="C13" s="1" t="str">
        <f t="shared" si="0"/>
        <v>Thursday</v>
      </c>
      <c r="D13" s="1">
        <v>5500</v>
      </c>
      <c r="E13" s="1" t="s">
        <v>65</v>
      </c>
      <c r="F13" s="1" t="s">
        <v>77</v>
      </c>
      <c r="G13" s="1">
        <v>9</v>
      </c>
      <c r="H13" s="1">
        <v>25</v>
      </c>
      <c r="I13" s="1">
        <f>IF(ISBLANK(Table1[[#This Row],[DURATION]])," ",G13*H13)</f>
        <v>225</v>
      </c>
      <c r="J13" s="3">
        <v>6.5</v>
      </c>
      <c r="K13" s="3">
        <v>1.2</v>
      </c>
      <c r="L13" s="1">
        <v>75</v>
      </c>
      <c r="M13" s="1">
        <v>162</v>
      </c>
      <c r="N13" s="1">
        <f t="shared" si="1"/>
        <v>29</v>
      </c>
      <c r="O13" s="1" t="str">
        <f t="shared" si="2"/>
        <v>OVERWEIGHT</v>
      </c>
      <c r="P13" s="1" t="str">
        <f t="shared" si="3"/>
        <v>IN ACTIVE</v>
      </c>
    </row>
    <row r="14" spans="1:16" x14ac:dyDescent="0.25">
      <c r="A14" s="1" t="s">
        <v>20</v>
      </c>
      <c r="B14" s="2">
        <v>45834</v>
      </c>
      <c r="C14" s="1" t="str">
        <f t="shared" si="0"/>
        <v>Thursday</v>
      </c>
      <c r="D14" s="1">
        <v>11240</v>
      </c>
      <c r="E14" s="1" t="s">
        <v>66</v>
      </c>
      <c r="F14" s="1" t="s">
        <v>72</v>
      </c>
      <c r="G14" s="1">
        <v>7</v>
      </c>
      <c r="H14" s="1">
        <v>50</v>
      </c>
      <c r="I14" s="1">
        <f>IF(ISBLANK(Table1[[#This Row],[DURATION]])," ",G14*H14)</f>
        <v>350</v>
      </c>
      <c r="J14" s="3">
        <v>7.1</v>
      </c>
      <c r="K14" s="3">
        <v>2.2000000000000002</v>
      </c>
      <c r="L14" s="1">
        <v>50</v>
      </c>
      <c r="M14" s="1">
        <v>170</v>
      </c>
      <c r="N14" s="1">
        <f t="shared" si="1"/>
        <v>17</v>
      </c>
      <c r="O14" s="1" t="str">
        <f t="shared" si="2"/>
        <v>UNDERWEIGHT</v>
      </c>
      <c r="P14" s="1" t="str">
        <f t="shared" si="3"/>
        <v>ACTIVE</v>
      </c>
    </row>
    <row r="15" spans="1:16" x14ac:dyDescent="0.25">
      <c r="A15" s="1" t="s">
        <v>34</v>
      </c>
      <c r="B15" s="2">
        <v>45834</v>
      </c>
      <c r="C15" s="1" t="str">
        <f t="shared" si="0"/>
        <v>Thursday</v>
      </c>
      <c r="D15" s="1">
        <v>4572</v>
      </c>
      <c r="E15" s="1" t="s">
        <v>67</v>
      </c>
      <c r="F15" s="1" t="s">
        <v>73</v>
      </c>
      <c r="G15" s="1">
        <v>10</v>
      </c>
      <c r="H15" s="1">
        <v>20</v>
      </c>
      <c r="I15" s="1">
        <f>IF(ISBLANK(Table1[[#This Row],[DURATION]])," ",G15*H15)</f>
        <v>200</v>
      </c>
      <c r="J15" s="3">
        <v>6.3</v>
      </c>
      <c r="K15" s="3">
        <v>2.6</v>
      </c>
      <c r="L15" s="1">
        <v>92</v>
      </c>
      <c r="M15" s="1">
        <v>156</v>
      </c>
      <c r="N15" s="1">
        <f t="shared" si="1"/>
        <v>38</v>
      </c>
      <c r="O15" s="1" t="str">
        <f t="shared" si="2"/>
        <v>OBESE</v>
      </c>
      <c r="P15" s="1" t="str">
        <f t="shared" si="3"/>
        <v>IN ACTIVE</v>
      </c>
    </row>
    <row r="16" spans="1:16" x14ac:dyDescent="0.25">
      <c r="A16" s="1" t="s">
        <v>82</v>
      </c>
      <c r="B16" s="2">
        <v>45834</v>
      </c>
      <c r="C16" s="1" t="str">
        <f t="shared" si="0"/>
        <v>Thursday</v>
      </c>
      <c r="D16" s="1">
        <v>5000</v>
      </c>
      <c r="E16" s="1" t="s">
        <v>67</v>
      </c>
      <c r="F16" s="1" t="s">
        <v>71</v>
      </c>
      <c r="G16" s="1">
        <v>6</v>
      </c>
      <c r="H16" s="1">
        <v>48</v>
      </c>
      <c r="I16" s="6">
        <f>IF(ISBLANK(Table1[[#This Row],[DURATION]])," ",G16*H16)</f>
        <v>288</v>
      </c>
      <c r="J16" s="3">
        <v>5.4</v>
      </c>
      <c r="K16" s="3">
        <v>1.5</v>
      </c>
      <c r="L16" s="1">
        <v>95</v>
      </c>
      <c r="M16" s="1">
        <v>160</v>
      </c>
      <c r="N16" s="1">
        <f t="shared" si="1"/>
        <v>37</v>
      </c>
      <c r="O16" s="1" t="str">
        <f t="shared" si="2"/>
        <v>OBESE</v>
      </c>
      <c r="P16" s="1" t="str">
        <f t="shared" si="3"/>
        <v>IN ACTIVE</v>
      </c>
    </row>
    <row r="17" spans="1:16" x14ac:dyDescent="0.25">
      <c r="A17" s="1" t="s">
        <v>50</v>
      </c>
      <c r="B17" s="2">
        <v>45834</v>
      </c>
      <c r="C17" s="1" t="str">
        <f t="shared" si="0"/>
        <v>Thursday</v>
      </c>
      <c r="D17" s="1">
        <v>7000</v>
      </c>
      <c r="E17" s="1" t="s">
        <v>64</v>
      </c>
      <c r="F17" s="1" t="s">
        <v>74</v>
      </c>
      <c r="G17" s="1">
        <v>6</v>
      </c>
      <c r="H17" s="1">
        <v>15</v>
      </c>
      <c r="I17" s="1">
        <f>IF(ISBLANK(Table1[[#This Row],[DURATION]])," ",G17*H17)</f>
        <v>90</v>
      </c>
      <c r="J17" s="3">
        <v>5.4</v>
      </c>
      <c r="K17" s="3">
        <v>1.7</v>
      </c>
      <c r="L17" s="1">
        <v>53</v>
      </c>
      <c r="M17" s="1">
        <v>150</v>
      </c>
      <c r="N17" s="1">
        <f t="shared" si="1"/>
        <v>24</v>
      </c>
      <c r="O17" s="1" t="str">
        <f t="shared" si="2"/>
        <v>NORMAL</v>
      </c>
      <c r="P17" s="1" t="str">
        <f t="shared" si="3"/>
        <v>ACTIVE</v>
      </c>
    </row>
    <row r="18" spans="1:16" x14ac:dyDescent="0.25">
      <c r="A18" s="1" t="s">
        <v>33</v>
      </c>
      <c r="B18" s="2">
        <v>45834</v>
      </c>
      <c r="C18" s="1" t="str">
        <f t="shared" si="0"/>
        <v>Thursday</v>
      </c>
      <c r="D18" s="1">
        <v>13421</v>
      </c>
      <c r="E18" s="1" t="s">
        <v>65</v>
      </c>
      <c r="F18" s="1" t="s">
        <v>75</v>
      </c>
      <c r="G18" s="1">
        <v>5</v>
      </c>
      <c r="H18" s="1">
        <v>50</v>
      </c>
      <c r="I18" s="1">
        <f>IF(ISBLANK(Table1[[#This Row],[DURATION]])," ",G18*H18)</f>
        <v>250</v>
      </c>
      <c r="J18" s="3">
        <v>6.1</v>
      </c>
      <c r="K18" s="3">
        <v>2.5</v>
      </c>
      <c r="L18" s="1">
        <v>79</v>
      </c>
      <c r="M18" s="1">
        <v>152</v>
      </c>
      <c r="N18" s="1">
        <f t="shared" si="1"/>
        <v>34</v>
      </c>
      <c r="O18" s="1" t="str">
        <f t="shared" si="2"/>
        <v>OBESE</v>
      </c>
      <c r="P18" s="1" t="str">
        <f t="shared" si="3"/>
        <v>ACTIVE</v>
      </c>
    </row>
    <row r="19" spans="1:16" x14ac:dyDescent="0.25">
      <c r="A19" s="1" t="s">
        <v>25</v>
      </c>
      <c r="B19" s="2">
        <v>45834</v>
      </c>
      <c r="C19" s="1" t="str">
        <f t="shared" si="0"/>
        <v>Thursday</v>
      </c>
      <c r="D19" s="1">
        <v>4500</v>
      </c>
      <c r="E19" s="1" t="s">
        <v>66</v>
      </c>
      <c r="F19" s="1" t="s">
        <v>76</v>
      </c>
      <c r="G19" s="1">
        <v>5</v>
      </c>
      <c r="H19" s="1">
        <v>60</v>
      </c>
      <c r="I19" s="1">
        <f>IF(ISBLANK(Table1[[#This Row],[DURATION]])," ",G19*H19)</f>
        <v>300</v>
      </c>
      <c r="J19" s="3">
        <v>7.3</v>
      </c>
      <c r="K19" s="3">
        <v>2.1</v>
      </c>
      <c r="L19" s="1">
        <v>55</v>
      </c>
      <c r="M19" s="1">
        <v>155</v>
      </c>
      <c r="N19" s="1">
        <f t="shared" si="1"/>
        <v>23</v>
      </c>
      <c r="O19" s="1" t="str">
        <f t="shared" si="2"/>
        <v>NORMAL</v>
      </c>
      <c r="P19" s="1" t="str">
        <f t="shared" si="3"/>
        <v>IN ACTIVE</v>
      </c>
    </row>
    <row r="20" spans="1:16" x14ac:dyDescent="0.25">
      <c r="A20" s="1" t="s">
        <v>99</v>
      </c>
      <c r="B20" s="2">
        <v>45837</v>
      </c>
      <c r="C20" s="1" t="str">
        <f t="shared" si="0"/>
        <v>Sunday</v>
      </c>
      <c r="D20" s="1">
        <v>6000</v>
      </c>
      <c r="E20" s="1" t="s">
        <v>67</v>
      </c>
      <c r="F20" s="1" t="s">
        <v>76</v>
      </c>
      <c r="G20" s="1">
        <v>5</v>
      </c>
      <c r="H20" s="1">
        <v>20</v>
      </c>
      <c r="I20" s="1">
        <f>IF(ISBLANK(Table1[[#This Row],[DURATION]])," ",G20*H20)</f>
        <v>100</v>
      </c>
      <c r="J20" s="3">
        <v>5.5</v>
      </c>
      <c r="K20" s="3">
        <v>2.1</v>
      </c>
      <c r="L20" s="1">
        <v>105</v>
      </c>
      <c r="M20" s="1">
        <v>179</v>
      </c>
      <c r="N20" s="1">
        <f t="shared" si="1"/>
        <v>33</v>
      </c>
      <c r="O20" s="1" t="str">
        <f t="shared" si="2"/>
        <v>OBESE</v>
      </c>
      <c r="P20" s="1" t="str">
        <f t="shared" si="3"/>
        <v>IN ACTIVE</v>
      </c>
    </row>
    <row r="21" spans="1:16" x14ac:dyDescent="0.25">
      <c r="A21" s="1" t="s">
        <v>18</v>
      </c>
      <c r="B21" s="2">
        <v>45834</v>
      </c>
      <c r="C21" s="1" t="str">
        <f t="shared" si="0"/>
        <v>Thursday</v>
      </c>
      <c r="D21" s="1">
        <v>4571</v>
      </c>
      <c r="E21" s="1" t="s">
        <v>67</v>
      </c>
      <c r="F21" s="1" t="s">
        <v>77</v>
      </c>
      <c r="G21" s="1">
        <v>9</v>
      </c>
      <c r="H21" s="1">
        <v>30</v>
      </c>
      <c r="I21" s="1">
        <f>IF(ISBLANK(Table1[[#This Row],[DURATION]])," ",G21*H21)</f>
        <v>270</v>
      </c>
      <c r="J21" s="3">
        <v>6.6</v>
      </c>
      <c r="K21" s="3">
        <v>1.8</v>
      </c>
      <c r="L21" s="1">
        <v>88</v>
      </c>
      <c r="M21" s="1">
        <v>157</v>
      </c>
      <c r="N21" s="1">
        <f t="shared" si="1"/>
        <v>36</v>
      </c>
      <c r="O21" s="1" t="str">
        <f t="shared" si="2"/>
        <v>OBESE</v>
      </c>
      <c r="P21" s="1" t="str">
        <f t="shared" si="3"/>
        <v>IN ACTIVE</v>
      </c>
    </row>
    <row r="22" spans="1:16" x14ac:dyDescent="0.25">
      <c r="A22" s="1" t="s">
        <v>19</v>
      </c>
      <c r="B22" s="2">
        <v>45834</v>
      </c>
      <c r="C22" s="1" t="str">
        <f t="shared" si="0"/>
        <v>Thursday</v>
      </c>
      <c r="D22" s="1">
        <v>6000</v>
      </c>
      <c r="E22" s="1" t="s">
        <v>64</v>
      </c>
      <c r="F22" s="1" t="s">
        <v>68</v>
      </c>
      <c r="G22" s="1">
        <v>8</v>
      </c>
      <c r="H22" s="1">
        <v>20</v>
      </c>
      <c r="I22" s="1">
        <f>IF(ISBLANK(Table1[[#This Row],[DURATION]])," ",G22*H22)</f>
        <v>160</v>
      </c>
      <c r="J22" s="3">
        <v>7.2</v>
      </c>
      <c r="K22" s="3">
        <v>2.2000000000000002</v>
      </c>
      <c r="L22" s="1">
        <v>48</v>
      </c>
      <c r="M22" s="1">
        <v>160</v>
      </c>
      <c r="N22" s="1">
        <f t="shared" si="1"/>
        <v>19</v>
      </c>
      <c r="O22" s="1" t="str">
        <f t="shared" si="2"/>
        <v>NORMAL</v>
      </c>
      <c r="P22" s="1" t="str">
        <f t="shared" si="3"/>
        <v>IN ACTIVE</v>
      </c>
    </row>
    <row r="23" spans="1:16" x14ac:dyDescent="0.25">
      <c r="A23" s="1" t="s">
        <v>15</v>
      </c>
      <c r="B23" s="2">
        <v>45835</v>
      </c>
      <c r="C23" s="1" t="str">
        <f t="shared" si="0"/>
        <v>Friday</v>
      </c>
      <c r="D23" s="1">
        <v>12400</v>
      </c>
      <c r="E23" s="1" t="s">
        <v>65</v>
      </c>
      <c r="F23" s="1" t="s">
        <v>73</v>
      </c>
      <c r="G23" s="1">
        <v>10</v>
      </c>
      <c r="H23" s="1">
        <v>72</v>
      </c>
      <c r="I23" s="1">
        <f>IF(ISBLANK(Table1[[#This Row],[DURATION]])," ",G23*H23)</f>
        <v>720</v>
      </c>
      <c r="J23" s="3">
        <v>6</v>
      </c>
      <c r="K23" s="3">
        <v>2</v>
      </c>
      <c r="L23" s="1">
        <v>65</v>
      </c>
      <c r="M23" s="1">
        <v>161</v>
      </c>
      <c r="N23" s="1">
        <f t="shared" si="1"/>
        <v>25</v>
      </c>
      <c r="O23" s="1" t="str">
        <f t="shared" si="2"/>
        <v>OVERWEIGHT</v>
      </c>
      <c r="P23" s="1" t="str">
        <f t="shared" si="3"/>
        <v>ACTIVE</v>
      </c>
    </row>
    <row r="24" spans="1:16" x14ac:dyDescent="0.25">
      <c r="A24" s="1" t="s">
        <v>44</v>
      </c>
      <c r="B24" s="2">
        <v>45835</v>
      </c>
      <c r="C24" s="1" t="str">
        <f t="shared" si="0"/>
        <v>Friday</v>
      </c>
      <c r="D24" s="1">
        <v>10000</v>
      </c>
      <c r="E24" s="1" t="s">
        <v>66</v>
      </c>
      <c r="F24" s="1" t="s">
        <v>70</v>
      </c>
      <c r="G24" s="1">
        <v>8</v>
      </c>
      <c r="H24" s="1">
        <v>55</v>
      </c>
      <c r="I24" s="1">
        <f>IF(ISBLANK(Table1[[#This Row],[DURATION]])," ",G24*H24)</f>
        <v>440</v>
      </c>
      <c r="J24" s="3">
        <v>6.7</v>
      </c>
      <c r="K24" s="3">
        <v>2.6</v>
      </c>
      <c r="L24" s="1">
        <v>61</v>
      </c>
      <c r="M24" s="1">
        <v>162</v>
      </c>
      <c r="N24" s="1">
        <f t="shared" si="1"/>
        <v>23</v>
      </c>
      <c r="O24" s="1" t="str">
        <f t="shared" si="2"/>
        <v>NORMAL</v>
      </c>
      <c r="P24" s="1" t="str">
        <f t="shared" si="3"/>
        <v>ACTIVE</v>
      </c>
    </row>
    <row r="25" spans="1:16" x14ac:dyDescent="0.25">
      <c r="A25" s="1" t="s">
        <v>42</v>
      </c>
      <c r="B25" s="2">
        <v>45835</v>
      </c>
      <c r="C25" s="1" t="str">
        <f t="shared" si="0"/>
        <v>Friday</v>
      </c>
      <c r="D25" s="1">
        <v>5900</v>
      </c>
      <c r="E25" s="1" t="s">
        <v>67</v>
      </c>
      <c r="F25" s="1" t="s">
        <v>71</v>
      </c>
      <c r="G25" s="1">
        <v>6</v>
      </c>
      <c r="H25" s="1">
        <v>65</v>
      </c>
      <c r="I25" s="1">
        <f>IF(ISBLANK(Table1[[#This Row],[DURATION]])," ",G25*H25)</f>
        <v>390</v>
      </c>
      <c r="J25" s="3">
        <v>5.5</v>
      </c>
      <c r="K25" s="3">
        <v>2.7</v>
      </c>
      <c r="L25" s="1">
        <v>91</v>
      </c>
      <c r="M25" s="1">
        <v>163</v>
      </c>
      <c r="N25" s="1">
        <f t="shared" si="1"/>
        <v>34</v>
      </c>
      <c r="O25" s="1" t="str">
        <f t="shared" si="2"/>
        <v>OBESE</v>
      </c>
      <c r="P25" s="1" t="str">
        <f t="shared" si="3"/>
        <v>IN ACTIVE</v>
      </c>
    </row>
    <row r="26" spans="1:16" x14ac:dyDescent="0.25">
      <c r="A26" s="1" t="s">
        <v>17</v>
      </c>
      <c r="B26" s="2">
        <v>45835</v>
      </c>
      <c r="C26" s="1" t="str">
        <f t="shared" si="0"/>
        <v>Friday</v>
      </c>
      <c r="D26" s="1">
        <v>9700</v>
      </c>
      <c r="E26" s="1" t="s">
        <v>64</v>
      </c>
      <c r="F26" s="1" t="s">
        <v>68</v>
      </c>
      <c r="G26" s="1">
        <v>8</v>
      </c>
      <c r="H26" s="1">
        <v>35</v>
      </c>
      <c r="I26" s="1">
        <f>IF(ISBLANK(Table1[[#This Row],[DURATION]])," ",G26*H26)</f>
        <v>280</v>
      </c>
      <c r="J26" s="3">
        <v>7.1</v>
      </c>
      <c r="K26" s="3">
        <v>1.3</v>
      </c>
      <c r="L26" s="1">
        <v>57</v>
      </c>
      <c r="M26" s="1">
        <v>164</v>
      </c>
      <c r="N26" s="1">
        <f t="shared" si="1"/>
        <v>21</v>
      </c>
      <c r="O26" s="1" t="str">
        <f t="shared" si="2"/>
        <v>NORMAL</v>
      </c>
      <c r="P26" s="4" t="str">
        <f t="shared" si="3"/>
        <v>ACTIVE</v>
      </c>
    </row>
    <row r="27" spans="1:16" x14ac:dyDescent="0.25">
      <c r="A27" s="1" t="s">
        <v>51</v>
      </c>
      <c r="B27" s="2">
        <v>45835</v>
      </c>
      <c r="C27" s="1" t="str">
        <f t="shared" si="0"/>
        <v>Friday</v>
      </c>
      <c r="D27" s="1">
        <v>12100</v>
      </c>
      <c r="E27" s="1" t="s">
        <v>65</v>
      </c>
      <c r="F27" s="1" t="s">
        <v>69</v>
      </c>
      <c r="G27" s="1">
        <v>7</v>
      </c>
      <c r="H27" s="1">
        <v>25</v>
      </c>
      <c r="I27" s="1">
        <f>IF(ISBLANK(Table1[[#This Row],[DURATION]])," ",G27*H27)</f>
        <v>175</v>
      </c>
      <c r="J27" s="3">
        <v>6.5</v>
      </c>
      <c r="K27" s="3">
        <v>2.5</v>
      </c>
      <c r="L27" s="1">
        <v>95</v>
      </c>
      <c r="M27" s="1">
        <v>165</v>
      </c>
      <c r="N27" s="1">
        <f t="shared" si="1"/>
        <v>35</v>
      </c>
      <c r="O27" s="1" t="str">
        <f t="shared" si="2"/>
        <v>OBESE</v>
      </c>
      <c r="P27" s="7" t="str">
        <f t="shared" si="3"/>
        <v>ACTIVE</v>
      </c>
    </row>
    <row r="28" spans="1:16" x14ac:dyDescent="0.25">
      <c r="A28" s="1" t="s">
        <v>36</v>
      </c>
      <c r="B28" s="2">
        <v>45835</v>
      </c>
      <c r="C28" s="1" t="str">
        <f t="shared" si="0"/>
        <v>Friday</v>
      </c>
      <c r="D28" s="1">
        <v>9300</v>
      </c>
      <c r="E28" s="1" t="s">
        <v>66</v>
      </c>
      <c r="F28" s="1" t="s">
        <v>70</v>
      </c>
      <c r="G28" s="1">
        <v>4</v>
      </c>
      <c r="H28" s="1">
        <v>50</v>
      </c>
      <c r="I28" s="1">
        <f>IF(ISBLANK(Table1[[#This Row],[DURATION]])," ",G28*H28)</f>
        <v>200</v>
      </c>
      <c r="J28" s="3">
        <v>7.3</v>
      </c>
      <c r="K28" s="3">
        <v>1.9</v>
      </c>
      <c r="L28" s="1">
        <v>51</v>
      </c>
      <c r="M28" s="1">
        <v>166</v>
      </c>
      <c r="N28" s="1">
        <f t="shared" si="1"/>
        <v>19</v>
      </c>
      <c r="O28" s="1" t="str">
        <f t="shared" si="2"/>
        <v>NORMAL</v>
      </c>
      <c r="P28" s="1" t="str">
        <f t="shared" si="3"/>
        <v>ACTIVE</v>
      </c>
    </row>
    <row r="29" spans="1:16" x14ac:dyDescent="0.25">
      <c r="A29" s="1" t="s">
        <v>58</v>
      </c>
      <c r="B29" s="2">
        <v>45835</v>
      </c>
      <c r="C29" s="1" t="str">
        <f t="shared" si="0"/>
        <v>Friday</v>
      </c>
      <c r="D29" s="1">
        <v>8500</v>
      </c>
      <c r="E29" s="1" t="s">
        <v>67</v>
      </c>
      <c r="F29" s="1" t="s">
        <v>71</v>
      </c>
      <c r="G29" s="1">
        <v>10</v>
      </c>
      <c r="H29" s="1">
        <v>20</v>
      </c>
      <c r="I29" s="1">
        <f>IF(ISBLANK(Table1[[#This Row],[DURATION]])," ",G29*H29)</f>
        <v>200</v>
      </c>
      <c r="J29" s="3">
        <v>3.5</v>
      </c>
      <c r="K29" s="3">
        <v>1.4</v>
      </c>
      <c r="L29" s="1">
        <v>85</v>
      </c>
      <c r="M29" s="1">
        <v>167</v>
      </c>
      <c r="N29" s="1">
        <f t="shared" si="1"/>
        <v>30</v>
      </c>
      <c r="O29" s="1" t="str">
        <f t="shared" si="2"/>
        <v>OBESE</v>
      </c>
      <c r="P29" s="7" t="str">
        <f t="shared" si="3"/>
        <v>ACTIVE</v>
      </c>
    </row>
    <row r="30" spans="1:16" x14ac:dyDescent="0.25">
      <c r="A30" s="1" t="s">
        <v>22</v>
      </c>
      <c r="B30" s="2">
        <v>45835</v>
      </c>
      <c r="C30" s="1" t="str">
        <f t="shared" si="0"/>
        <v>Friday</v>
      </c>
      <c r="D30" s="1">
        <v>12200</v>
      </c>
      <c r="E30" s="1" t="s">
        <v>64</v>
      </c>
      <c r="F30" s="1" t="s">
        <v>72</v>
      </c>
      <c r="G30" s="1">
        <v>7</v>
      </c>
      <c r="H30" s="1">
        <v>40</v>
      </c>
      <c r="I30" s="1">
        <f>IF(ISBLANK(Table1[[#This Row],[DURATION]])," ",G30*H30)</f>
        <v>280</v>
      </c>
      <c r="J30" s="3">
        <v>7</v>
      </c>
      <c r="K30" s="3">
        <v>2.4</v>
      </c>
      <c r="L30" s="1">
        <v>59</v>
      </c>
      <c r="M30" s="1">
        <v>168</v>
      </c>
      <c r="N30" s="1">
        <f t="shared" si="1"/>
        <v>21</v>
      </c>
      <c r="O30" s="1" t="str">
        <f t="shared" si="2"/>
        <v>NORMAL</v>
      </c>
      <c r="P30" s="1" t="str">
        <f t="shared" si="3"/>
        <v>ACTIVE</v>
      </c>
    </row>
    <row r="31" spans="1:16" x14ac:dyDescent="0.25">
      <c r="A31" s="1" t="s">
        <v>49</v>
      </c>
      <c r="B31" s="2">
        <v>45835</v>
      </c>
      <c r="C31" s="1" t="str">
        <f t="shared" si="0"/>
        <v>Friday</v>
      </c>
      <c r="D31" s="1">
        <v>5000</v>
      </c>
      <c r="E31" s="1" t="s">
        <v>65</v>
      </c>
      <c r="F31" s="1" t="s">
        <v>73</v>
      </c>
      <c r="G31" s="1">
        <v>10</v>
      </c>
      <c r="H31" s="1">
        <v>50</v>
      </c>
      <c r="I31" s="1">
        <f>IF(ISBLANK(Table1[[#This Row],[DURATION]])," ",G31*H31)</f>
        <v>500</v>
      </c>
      <c r="J31" s="3">
        <v>6.4</v>
      </c>
      <c r="K31" s="3">
        <v>2.1</v>
      </c>
      <c r="L31" s="1">
        <v>93</v>
      </c>
      <c r="M31" s="1">
        <v>169</v>
      </c>
      <c r="N31" s="1">
        <f t="shared" si="1"/>
        <v>33</v>
      </c>
      <c r="O31" s="1" t="str">
        <f t="shared" si="2"/>
        <v>OBESE</v>
      </c>
      <c r="P31" s="1" t="str">
        <f t="shared" si="3"/>
        <v>IN ACTIVE</v>
      </c>
    </row>
    <row r="32" spans="1:16" x14ac:dyDescent="0.25">
      <c r="A32" s="1" t="s">
        <v>53</v>
      </c>
      <c r="B32" s="2">
        <v>45835</v>
      </c>
      <c r="C32" s="1" t="str">
        <f t="shared" si="0"/>
        <v>Friday</v>
      </c>
      <c r="D32" s="1">
        <v>9200</v>
      </c>
      <c r="E32" s="1" t="s">
        <v>66</v>
      </c>
      <c r="F32" s="1" t="s">
        <v>74</v>
      </c>
      <c r="G32" s="1">
        <v>6</v>
      </c>
      <c r="H32" s="1">
        <v>60</v>
      </c>
      <c r="I32" s="1">
        <f>IF(ISBLANK(Table1[[#This Row],[DURATION]])," ",G32*H32)</f>
        <v>360</v>
      </c>
      <c r="J32" s="3">
        <v>7</v>
      </c>
      <c r="K32" s="3">
        <v>2.2999999999999998</v>
      </c>
      <c r="L32" s="1">
        <v>56</v>
      </c>
      <c r="M32" s="1">
        <v>170</v>
      </c>
      <c r="N32" s="1">
        <f t="shared" si="1"/>
        <v>19</v>
      </c>
      <c r="O32" s="1" t="str">
        <f t="shared" si="2"/>
        <v>NORMAL</v>
      </c>
      <c r="P32" s="1" t="str">
        <f t="shared" si="3"/>
        <v>ACTIVE</v>
      </c>
    </row>
    <row r="33" spans="1:16" x14ac:dyDescent="0.25">
      <c r="A33" s="1" t="s">
        <v>62</v>
      </c>
      <c r="B33" s="2">
        <v>45836</v>
      </c>
      <c r="C33" s="1" t="str">
        <f t="shared" si="0"/>
        <v>Saturday</v>
      </c>
      <c r="D33" s="1">
        <v>7500</v>
      </c>
      <c r="E33" s="1" t="s">
        <v>67</v>
      </c>
      <c r="F33" s="1" t="s">
        <v>75</v>
      </c>
      <c r="G33" s="1">
        <v>5</v>
      </c>
      <c r="H33" s="1">
        <v>30</v>
      </c>
      <c r="I33" s="1">
        <f>IF(ISBLANK(Table1[[#This Row],[DURATION]])," ",G33*H33)</f>
        <v>150</v>
      </c>
      <c r="J33" s="3">
        <v>6.6</v>
      </c>
      <c r="K33" s="3">
        <v>1.8</v>
      </c>
      <c r="L33" s="1">
        <v>84</v>
      </c>
      <c r="M33" s="1">
        <v>171</v>
      </c>
      <c r="N33" s="1">
        <f t="shared" si="1"/>
        <v>29</v>
      </c>
      <c r="O33" s="1" t="str">
        <f t="shared" si="2"/>
        <v>OVERWEIGHT</v>
      </c>
      <c r="P33" s="1" t="str">
        <f t="shared" si="3"/>
        <v>ACTIVE</v>
      </c>
    </row>
    <row r="34" spans="1:16" x14ac:dyDescent="0.25">
      <c r="A34" s="1" t="s">
        <v>85</v>
      </c>
      <c r="B34" s="2">
        <v>45836</v>
      </c>
      <c r="C34" s="1" t="str">
        <f t="shared" si="0"/>
        <v>Saturday</v>
      </c>
      <c r="D34" s="1">
        <v>4600</v>
      </c>
      <c r="E34" s="1" t="s">
        <v>66</v>
      </c>
      <c r="F34" s="1" t="s">
        <v>77</v>
      </c>
      <c r="G34" s="1">
        <v>9</v>
      </c>
      <c r="H34" s="1">
        <v>37</v>
      </c>
      <c r="I34" s="6">
        <f>IF(ISBLANK(Table1[[#This Row],[DURATION]])," ",G34*H34)</f>
        <v>333</v>
      </c>
      <c r="J34" s="3">
        <v>5</v>
      </c>
      <c r="K34" s="3">
        <v>2</v>
      </c>
      <c r="L34" s="1">
        <v>65</v>
      </c>
      <c r="M34" s="1">
        <v>140</v>
      </c>
      <c r="N34" s="1">
        <f t="shared" si="1"/>
        <v>33</v>
      </c>
      <c r="O34" s="1" t="str">
        <f t="shared" si="2"/>
        <v>OBESE</v>
      </c>
      <c r="P34" s="1" t="str">
        <f t="shared" si="3"/>
        <v>IN ACTIVE</v>
      </c>
    </row>
    <row r="35" spans="1:16" x14ac:dyDescent="0.25">
      <c r="A35" s="1" t="s">
        <v>29</v>
      </c>
      <c r="B35" s="2">
        <v>45836</v>
      </c>
      <c r="C35" s="1" t="str">
        <f t="shared" ref="C35:C61" si="4">TEXT(B35,"dddd")</f>
        <v>Saturday</v>
      </c>
      <c r="D35" s="1">
        <v>5400</v>
      </c>
      <c r="E35" s="1" t="s">
        <v>64</v>
      </c>
      <c r="F35" s="1" t="s">
        <v>76</v>
      </c>
      <c r="G35" s="1">
        <v>5</v>
      </c>
      <c r="H35" s="1">
        <v>20</v>
      </c>
      <c r="I35" s="1">
        <f>IF(ISBLANK(Table1[[#This Row],[DURATION]])," ",G35*H35)</f>
        <v>100</v>
      </c>
      <c r="J35" s="3">
        <v>6.8</v>
      </c>
      <c r="K35" s="3">
        <v>2.5</v>
      </c>
      <c r="L35" s="1">
        <v>65</v>
      </c>
      <c r="M35" s="1">
        <v>172</v>
      </c>
      <c r="N35" s="1">
        <f t="shared" ref="N35:N61" si="5">ROUND(L35/((M35/100)^2),0)</f>
        <v>22</v>
      </c>
      <c r="O35" s="1" t="str">
        <f t="shared" ref="O35:O61" si="6">IF(N35&lt;18,"UNDERWEIGHT",IF(N35&lt;25,"NORMAL",IF(N35&lt;30,"OVERWEIGHT","OBESE")))</f>
        <v>NORMAL</v>
      </c>
      <c r="P35" s="1" t="str">
        <f t="shared" ref="P35:P61" si="7">IF(D35&gt;=7000,"ACTIVE","IN ACTIVE")</f>
        <v>IN ACTIVE</v>
      </c>
    </row>
    <row r="36" spans="1:16" x14ac:dyDescent="0.25">
      <c r="A36" s="1" t="s">
        <v>63</v>
      </c>
      <c r="B36" s="2">
        <v>45836</v>
      </c>
      <c r="C36" s="1" t="str">
        <f t="shared" si="4"/>
        <v>Saturday</v>
      </c>
      <c r="D36" s="1">
        <v>4200</v>
      </c>
      <c r="E36" s="1" t="s">
        <v>65</v>
      </c>
      <c r="F36" s="1" t="s">
        <v>77</v>
      </c>
      <c r="G36" s="1">
        <v>9</v>
      </c>
      <c r="H36" s="1">
        <v>45</v>
      </c>
      <c r="I36" s="1">
        <f>IF(ISBLANK(Table1[[#This Row],[DURATION]])," ",G36*H36)</f>
        <v>405</v>
      </c>
      <c r="J36" s="3">
        <v>5.9</v>
      </c>
      <c r="K36" s="3">
        <v>2.8</v>
      </c>
      <c r="L36" s="1">
        <v>97</v>
      </c>
      <c r="M36" s="1">
        <v>173</v>
      </c>
      <c r="N36" s="1">
        <f t="shared" si="5"/>
        <v>32</v>
      </c>
      <c r="O36" s="1" t="str">
        <f t="shared" si="6"/>
        <v>OBESE</v>
      </c>
      <c r="P36" s="1" t="str">
        <f t="shared" si="7"/>
        <v>IN ACTIVE</v>
      </c>
    </row>
    <row r="37" spans="1:16" x14ac:dyDescent="0.25">
      <c r="A37" s="1" t="s">
        <v>37</v>
      </c>
      <c r="B37" s="2">
        <v>45836</v>
      </c>
      <c r="C37" s="1" t="str">
        <f t="shared" si="4"/>
        <v>Saturday</v>
      </c>
      <c r="D37" s="1">
        <v>4500</v>
      </c>
      <c r="E37" s="1" t="s">
        <v>66</v>
      </c>
      <c r="F37" s="1" t="s">
        <v>71</v>
      </c>
      <c r="G37" s="1">
        <v>6</v>
      </c>
      <c r="H37" s="1">
        <v>55</v>
      </c>
      <c r="I37" s="1">
        <f>IF(ISBLANK(Table1[[#This Row],[DURATION]])," ",G37*H37)</f>
        <v>330</v>
      </c>
      <c r="J37" s="3">
        <v>7.1</v>
      </c>
      <c r="K37" s="3">
        <v>2.5</v>
      </c>
      <c r="L37" s="1">
        <v>54</v>
      </c>
      <c r="M37" s="1">
        <v>174</v>
      </c>
      <c r="N37" s="1">
        <f t="shared" si="5"/>
        <v>18</v>
      </c>
      <c r="O37" s="1" t="str">
        <f t="shared" si="6"/>
        <v>NORMAL</v>
      </c>
      <c r="P37" s="1" t="str">
        <f t="shared" si="7"/>
        <v>IN ACTIVE</v>
      </c>
    </row>
    <row r="38" spans="1:16" x14ac:dyDescent="0.25">
      <c r="A38" s="1" t="s">
        <v>14</v>
      </c>
      <c r="B38" s="2">
        <v>45836</v>
      </c>
      <c r="C38" s="1" t="str">
        <f t="shared" si="4"/>
        <v>Saturday</v>
      </c>
      <c r="D38" s="1">
        <v>11900</v>
      </c>
      <c r="E38" s="1" t="s">
        <v>67</v>
      </c>
      <c r="F38" s="1" t="s">
        <v>73</v>
      </c>
      <c r="G38" s="1">
        <v>10</v>
      </c>
      <c r="H38" s="1">
        <v>70</v>
      </c>
      <c r="I38" s="1">
        <f>IF(ISBLANK(Table1[[#This Row],[DURATION]])," ",G38*H38)</f>
        <v>700</v>
      </c>
      <c r="J38" s="3">
        <v>2.5</v>
      </c>
      <c r="K38" s="3">
        <v>2.1</v>
      </c>
      <c r="L38" s="1">
        <v>80</v>
      </c>
      <c r="M38" s="1">
        <v>175</v>
      </c>
      <c r="N38" s="1">
        <f t="shared" si="5"/>
        <v>26</v>
      </c>
      <c r="O38" s="1" t="str">
        <f t="shared" si="6"/>
        <v>OVERWEIGHT</v>
      </c>
      <c r="P38" s="1" t="str">
        <f t="shared" si="7"/>
        <v>ACTIVE</v>
      </c>
    </row>
    <row r="39" spans="1:16" x14ac:dyDescent="0.25">
      <c r="A39" s="1" t="s">
        <v>46</v>
      </c>
      <c r="B39" s="2">
        <v>45836</v>
      </c>
      <c r="C39" s="1" t="str">
        <f t="shared" si="4"/>
        <v>Saturday</v>
      </c>
      <c r="D39" s="1">
        <v>8800</v>
      </c>
      <c r="E39" s="1" t="s">
        <v>64</v>
      </c>
      <c r="F39" s="1" t="s">
        <v>89</v>
      </c>
      <c r="G39" s="1">
        <v>10</v>
      </c>
      <c r="H39" s="1">
        <v>45</v>
      </c>
      <c r="I39" s="1">
        <f>IF(ISBLANK(Table1[[#This Row],[DURATION]])," ",G39*H39)</f>
        <v>450</v>
      </c>
      <c r="J39" s="3">
        <v>4.5</v>
      </c>
      <c r="K39" s="3">
        <v>1</v>
      </c>
      <c r="L39" s="1">
        <v>46</v>
      </c>
      <c r="M39" s="1">
        <v>176</v>
      </c>
      <c r="N39" s="1">
        <f t="shared" si="5"/>
        <v>15</v>
      </c>
      <c r="O39" s="1" t="str">
        <f t="shared" si="6"/>
        <v>UNDERWEIGHT</v>
      </c>
      <c r="P39" s="1" t="str">
        <f t="shared" si="7"/>
        <v>ACTIVE</v>
      </c>
    </row>
    <row r="40" spans="1:16" x14ac:dyDescent="0.25">
      <c r="A40" s="1" t="s">
        <v>83</v>
      </c>
      <c r="B40" s="2">
        <v>45836</v>
      </c>
      <c r="C40" s="1" t="str">
        <f t="shared" si="4"/>
        <v>Saturday</v>
      </c>
      <c r="D40" s="1">
        <v>12100</v>
      </c>
      <c r="E40" s="1" t="s">
        <v>65</v>
      </c>
      <c r="F40" s="1" t="s">
        <v>74</v>
      </c>
      <c r="G40" s="1">
        <v>6</v>
      </c>
      <c r="H40" s="1">
        <v>64</v>
      </c>
      <c r="I40" s="6">
        <f>IF(ISBLANK(Table1[[#This Row],[DURATION]])," ",G40*H40)</f>
        <v>384</v>
      </c>
      <c r="J40" s="3">
        <v>6</v>
      </c>
      <c r="K40" s="3">
        <v>1.9</v>
      </c>
      <c r="L40" s="1">
        <v>45</v>
      </c>
      <c r="M40" s="1">
        <v>170</v>
      </c>
      <c r="N40" s="1">
        <f t="shared" si="5"/>
        <v>16</v>
      </c>
      <c r="O40" s="1" t="str">
        <f t="shared" si="6"/>
        <v>UNDERWEIGHT</v>
      </c>
      <c r="P40" s="1" t="str">
        <f t="shared" si="7"/>
        <v>ACTIVE</v>
      </c>
    </row>
    <row r="41" spans="1:16" x14ac:dyDescent="0.25">
      <c r="A41" s="1" t="s">
        <v>24</v>
      </c>
      <c r="B41" s="2">
        <v>45836</v>
      </c>
      <c r="C41" s="1" t="str">
        <f t="shared" si="4"/>
        <v>Saturday</v>
      </c>
      <c r="D41" s="1">
        <v>4500</v>
      </c>
      <c r="E41" s="1" t="s">
        <v>65</v>
      </c>
      <c r="F41" s="1" t="s">
        <v>74</v>
      </c>
      <c r="G41" s="1">
        <v>6</v>
      </c>
      <c r="H41" s="1">
        <v>25</v>
      </c>
      <c r="I41" s="1">
        <f>IF(ISBLANK(Table1[[#This Row],[DURATION]])," ",G41*H41)</f>
        <v>150</v>
      </c>
      <c r="J41" s="3">
        <v>7.6</v>
      </c>
      <c r="K41" s="3">
        <v>2</v>
      </c>
      <c r="L41" s="1">
        <v>72</v>
      </c>
      <c r="M41" s="1">
        <v>177</v>
      </c>
      <c r="N41" s="1">
        <f t="shared" si="5"/>
        <v>23</v>
      </c>
      <c r="O41" s="1" t="str">
        <f t="shared" si="6"/>
        <v>NORMAL</v>
      </c>
      <c r="P41" s="1" t="str">
        <f t="shared" si="7"/>
        <v>IN ACTIVE</v>
      </c>
    </row>
    <row r="42" spans="1:16" x14ac:dyDescent="0.25">
      <c r="A42" s="1" t="s">
        <v>41</v>
      </c>
      <c r="B42" s="2">
        <v>45836</v>
      </c>
      <c r="C42" s="1" t="str">
        <f t="shared" si="4"/>
        <v>Saturday</v>
      </c>
      <c r="D42" s="1">
        <v>11000</v>
      </c>
      <c r="E42" s="1" t="s">
        <v>66</v>
      </c>
      <c r="F42" s="1" t="s">
        <v>75</v>
      </c>
      <c r="G42" s="1">
        <v>5</v>
      </c>
      <c r="H42" s="1">
        <v>50</v>
      </c>
      <c r="I42" s="1">
        <f>IF(ISBLANK(Table1[[#This Row],[DURATION]])," ",G42*H42)</f>
        <v>250</v>
      </c>
      <c r="J42" s="3">
        <v>6.4</v>
      </c>
      <c r="K42" s="3">
        <v>2.4</v>
      </c>
      <c r="L42" s="1">
        <v>49</v>
      </c>
      <c r="M42" s="1">
        <v>178</v>
      </c>
      <c r="N42" s="1">
        <f t="shared" si="5"/>
        <v>15</v>
      </c>
      <c r="O42" s="1" t="str">
        <f t="shared" si="6"/>
        <v>UNDERWEIGHT</v>
      </c>
      <c r="P42" s="1" t="str">
        <f t="shared" si="7"/>
        <v>ACTIVE</v>
      </c>
    </row>
    <row r="43" spans="1:16" x14ac:dyDescent="0.25">
      <c r="A43" s="1" t="s">
        <v>38</v>
      </c>
      <c r="B43" s="2">
        <v>45837</v>
      </c>
      <c r="C43" s="1" t="str">
        <f t="shared" si="4"/>
        <v>Sunday</v>
      </c>
      <c r="D43" s="1">
        <v>6800</v>
      </c>
      <c r="E43" s="1" t="s">
        <v>64</v>
      </c>
      <c r="F43" s="1" t="s">
        <v>70</v>
      </c>
      <c r="G43" s="1">
        <v>8</v>
      </c>
      <c r="H43" s="1">
        <v>65</v>
      </c>
      <c r="I43" s="6">
        <f>IF(ISBLANK(Table1[[#This Row],[DURATION]])," ",G43*H43)</f>
        <v>520</v>
      </c>
      <c r="J43" s="3">
        <v>6.6</v>
      </c>
      <c r="K43" s="3">
        <v>2</v>
      </c>
      <c r="L43" s="1">
        <v>65</v>
      </c>
      <c r="M43" s="1">
        <v>150</v>
      </c>
      <c r="N43" s="1">
        <f t="shared" si="5"/>
        <v>29</v>
      </c>
      <c r="O43" s="1" t="str">
        <f t="shared" si="6"/>
        <v>OVERWEIGHT</v>
      </c>
      <c r="P43" s="1" t="str">
        <f t="shared" si="7"/>
        <v>IN ACTIVE</v>
      </c>
    </row>
    <row r="44" spans="1:16" x14ac:dyDescent="0.25">
      <c r="A44" s="1" t="s">
        <v>21</v>
      </c>
      <c r="B44" s="2">
        <v>45837</v>
      </c>
      <c r="C44" s="1" t="str">
        <f t="shared" si="4"/>
        <v>Sunday</v>
      </c>
      <c r="D44" s="1">
        <v>14570</v>
      </c>
      <c r="E44" s="1" t="s">
        <v>65</v>
      </c>
      <c r="F44" s="1" t="s">
        <v>77</v>
      </c>
      <c r="G44" s="1">
        <v>10</v>
      </c>
      <c r="H44" s="1">
        <v>40</v>
      </c>
      <c r="I44" s="1">
        <f>IF(ISBLANK(Table1[[#This Row],[DURATION]])," ",G44*H44)</f>
        <v>400</v>
      </c>
      <c r="J44" s="3">
        <v>4.5999999999999996</v>
      </c>
      <c r="K44" s="3">
        <v>2.2000000000000002</v>
      </c>
      <c r="L44" s="1">
        <v>58</v>
      </c>
      <c r="M44" s="1">
        <v>180</v>
      </c>
      <c r="N44" s="1">
        <f t="shared" si="5"/>
        <v>18</v>
      </c>
      <c r="O44" s="1" t="str">
        <f t="shared" si="6"/>
        <v>NORMAL</v>
      </c>
      <c r="P44" s="1" t="str">
        <f t="shared" si="7"/>
        <v>ACTIVE</v>
      </c>
    </row>
    <row r="45" spans="1:16" x14ac:dyDescent="0.25">
      <c r="A45" s="1" t="s">
        <v>23</v>
      </c>
      <c r="B45" s="2">
        <v>45837</v>
      </c>
      <c r="C45" s="1" t="str">
        <f t="shared" si="4"/>
        <v>Sunday</v>
      </c>
      <c r="D45" s="1">
        <v>5862</v>
      </c>
      <c r="E45" s="1" t="s">
        <v>67</v>
      </c>
      <c r="F45" s="1" t="s">
        <v>68</v>
      </c>
      <c r="G45" s="1">
        <v>5</v>
      </c>
      <c r="H45" s="1">
        <v>50</v>
      </c>
      <c r="I45" s="1">
        <f>IF(ISBLANK(Table1[[#This Row],[DURATION]])," ",G45*H45)</f>
        <v>250</v>
      </c>
      <c r="J45" s="3">
        <v>3.5</v>
      </c>
      <c r="K45" s="3">
        <v>1.5</v>
      </c>
      <c r="L45" s="1">
        <v>90</v>
      </c>
      <c r="M45" s="1">
        <v>181</v>
      </c>
      <c r="N45" s="1">
        <f t="shared" si="5"/>
        <v>27</v>
      </c>
      <c r="O45" s="1" t="str">
        <f t="shared" si="6"/>
        <v>OVERWEIGHT</v>
      </c>
      <c r="P45" s="1" t="str">
        <f t="shared" si="7"/>
        <v>IN ACTIVE</v>
      </c>
    </row>
    <row r="46" spans="1:16" x14ac:dyDescent="0.25">
      <c r="A46" s="1" t="s">
        <v>57</v>
      </c>
      <c r="B46" s="2">
        <v>45837</v>
      </c>
      <c r="C46" s="1" t="str">
        <f t="shared" si="4"/>
        <v>Sunday</v>
      </c>
      <c r="D46" s="1">
        <v>12200</v>
      </c>
      <c r="E46" s="1" t="s">
        <v>64</v>
      </c>
      <c r="F46" s="1" t="s">
        <v>69</v>
      </c>
      <c r="G46" s="1">
        <v>7</v>
      </c>
      <c r="H46" s="1">
        <v>60</v>
      </c>
      <c r="I46" s="1">
        <f>IF(ISBLANK(Table1[[#This Row],[DURATION]])," ",G46*H46)</f>
        <v>420</v>
      </c>
      <c r="J46" s="3">
        <v>6.5</v>
      </c>
      <c r="K46" s="3">
        <v>1.6</v>
      </c>
      <c r="L46" s="1">
        <v>60</v>
      </c>
      <c r="M46" s="1">
        <v>182</v>
      </c>
      <c r="N46" s="1">
        <f t="shared" si="5"/>
        <v>18</v>
      </c>
      <c r="O46" s="1" t="str">
        <f t="shared" si="6"/>
        <v>NORMAL</v>
      </c>
      <c r="P46" s="1" t="str">
        <f t="shared" si="7"/>
        <v>ACTIVE</v>
      </c>
    </row>
    <row r="47" spans="1:16" x14ac:dyDescent="0.25">
      <c r="A47" s="1" t="s">
        <v>56</v>
      </c>
      <c r="B47" s="2">
        <v>45837</v>
      </c>
      <c r="C47" s="1" t="str">
        <f t="shared" si="4"/>
        <v>Sunday</v>
      </c>
      <c r="D47" s="1">
        <v>1111</v>
      </c>
      <c r="E47" s="1" t="s">
        <v>67</v>
      </c>
      <c r="F47" s="1" t="s">
        <v>70</v>
      </c>
      <c r="G47" s="1">
        <v>4</v>
      </c>
      <c r="H47" s="1">
        <v>30</v>
      </c>
      <c r="I47" s="1">
        <f>IF(ISBLANK(Table1[[#This Row],[DURATION]])," ",G47*H47)</f>
        <v>120</v>
      </c>
      <c r="J47" s="3">
        <v>4.2</v>
      </c>
      <c r="K47" s="3">
        <v>1.2</v>
      </c>
      <c r="L47" s="1">
        <v>110</v>
      </c>
      <c r="M47" s="1">
        <v>183</v>
      </c>
      <c r="N47" s="1">
        <f t="shared" si="5"/>
        <v>33</v>
      </c>
      <c r="O47" s="1" t="str">
        <f t="shared" si="6"/>
        <v>OBESE</v>
      </c>
      <c r="P47" s="1" t="str">
        <f t="shared" si="7"/>
        <v>IN ACTIVE</v>
      </c>
    </row>
    <row r="48" spans="1:16" x14ac:dyDescent="0.25">
      <c r="A48" s="1" t="s">
        <v>32</v>
      </c>
      <c r="B48" s="2">
        <v>45837</v>
      </c>
      <c r="C48" s="1" t="str">
        <f t="shared" si="4"/>
        <v>Sunday</v>
      </c>
      <c r="D48" s="1">
        <v>1002</v>
      </c>
      <c r="E48" s="1" t="s">
        <v>64</v>
      </c>
      <c r="F48" s="1" t="s">
        <v>71</v>
      </c>
      <c r="G48" s="1">
        <v>6</v>
      </c>
      <c r="H48" s="1">
        <v>20</v>
      </c>
      <c r="I48" s="1">
        <f>IF(ISBLANK(Table1[[#This Row],[DURATION]])," ",G48*H48)</f>
        <v>120</v>
      </c>
      <c r="J48" s="3">
        <v>1.9</v>
      </c>
      <c r="K48" s="3">
        <v>1</v>
      </c>
      <c r="L48" s="1">
        <v>65</v>
      </c>
      <c r="M48" s="1">
        <v>184</v>
      </c>
      <c r="N48" s="1">
        <f t="shared" si="5"/>
        <v>19</v>
      </c>
      <c r="O48" s="1" t="str">
        <f t="shared" si="6"/>
        <v>NORMAL</v>
      </c>
      <c r="P48" s="1" t="str">
        <f t="shared" si="7"/>
        <v>IN ACTIVE</v>
      </c>
    </row>
    <row r="49" spans="1:16" x14ac:dyDescent="0.25">
      <c r="A49" s="1" t="s">
        <v>35</v>
      </c>
      <c r="B49" s="2">
        <v>45837</v>
      </c>
      <c r="C49" s="1" t="str">
        <f t="shared" si="4"/>
        <v>Sunday</v>
      </c>
      <c r="D49" s="1">
        <v>14000</v>
      </c>
      <c r="E49" s="1" t="s">
        <v>65</v>
      </c>
      <c r="F49" s="1" t="s">
        <v>68</v>
      </c>
      <c r="G49" s="1">
        <v>8</v>
      </c>
      <c r="H49" s="1">
        <v>45</v>
      </c>
      <c r="I49" s="1">
        <f>IF(ISBLANK(Table1[[#This Row],[DURATION]])," ",G49*H49)</f>
        <v>360</v>
      </c>
      <c r="J49" s="3">
        <v>6</v>
      </c>
      <c r="K49" s="3">
        <v>2.4</v>
      </c>
      <c r="L49" s="1">
        <v>95</v>
      </c>
      <c r="M49" s="1">
        <v>185</v>
      </c>
      <c r="N49" s="1">
        <f t="shared" si="5"/>
        <v>28</v>
      </c>
      <c r="O49" s="1" t="str">
        <f t="shared" si="6"/>
        <v>OVERWEIGHT</v>
      </c>
      <c r="P49" s="1" t="str">
        <f t="shared" si="7"/>
        <v>ACTIVE</v>
      </c>
    </row>
    <row r="50" spans="1:16" x14ac:dyDescent="0.25">
      <c r="A50" s="1" t="s">
        <v>40</v>
      </c>
      <c r="B50" s="2">
        <v>45837</v>
      </c>
      <c r="C50" s="1" t="str">
        <f t="shared" si="4"/>
        <v>Sunday</v>
      </c>
      <c r="D50" s="1">
        <v>7851</v>
      </c>
      <c r="E50" s="1" t="s">
        <v>66</v>
      </c>
      <c r="F50" s="1" t="s">
        <v>69</v>
      </c>
      <c r="G50" s="1">
        <v>7</v>
      </c>
      <c r="H50" s="1">
        <v>55</v>
      </c>
      <c r="I50" s="1">
        <f>IF(ISBLANK(Table1[[#This Row],[DURATION]])," ",G50*H50)</f>
        <v>385</v>
      </c>
      <c r="J50" s="3">
        <v>4</v>
      </c>
      <c r="K50" s="3">
        <v>1.3</v>
      </c>
      <c r="L50" s="1">
        <v>70</v>
      </c>
      <c r="M50" s="1">
        <v>165</v>
      </c>
      <c r="N50" s="1">
        <f t="shared" si="5"/>
        <v>26</v>
      </c>
      <c r="O50" s="1" t="str">
        <f t="shared" si="6"/>
        <v>OVERWEIGHT</v>
      </c>
      <c r="P50" s="1" t="str">
        <f t="shared" si="7"/>
        <v>ACTIVE</v>
      </c>
    </row>
    <row r="51" spans="1:16" x14ac:dyDescent="0.25">
      <c r="A51" s="1" t="s">
        <v>52</v>
      </c>
      <c r="B51" s="2">
        <v>45837</v>
      </c>
      <c r="C51" s="1" t="str">
        <f t="shared" si="4"/>
        <v>Sunday</v>
      </c>
      <c r="D51" s="1">
        <v>13200</v>
      </c>
      <c r="E51" s="1" t="s">
        <v>64</v>
      </c>
      <c r="F51" s="1" t="s">
        <v>70</v>
      </c>
      <c r="G51" s="1">
        <v>4</v>
      </c>
      <c r="H51" s="1">
        <v>65</v>
      </c>
      <c r="I51" s="1">
        <f>IF(ISBLANK(Table1[[#This Row],[DURATION]])," ",G51*H51)</f>
        <v>260</v>
      </c>
      <c r="J51" s="3">
        <v>7.4</v>
      </c>
      <c r="K51" s="3">
        <v>2.1</v>
      </c>
      <c r="L51" s="1">
        <v>92</v>
      </c>
      <c r="M51" s="1">
        <v>167</v>
      </c>
      <c r="N51" s="1">
        <f t="shared" si="5"/>
        <v>33</v>
      </c>
      <c r="O51" s="1" t="str">
        <f t="shared" si="6"/>
        <v>OBESE</v>
      </c>
      <c r="P51" s="1" t="str">
        <f t="shared" si="7"/>
        <v>ACTIVE</v>
      </c>
    </row>
    <row r="52" spans="1:16" x14ac:dyDescent="0.25">
      <c r="A52" s="1" t="s">
        <v>59</v>
      </c>
      <c r="B52" s="2">
        <v>45838</v>
      </c>
      <c r="C52" s="1" t="str">
        <f t="shared" si="4"/>
        <v>Monday</v>
      </c>
      <c r="D52" s="1">
        <v>7744</v>
      </c>
      <c r="E52" s="1" t="s">
        <v>66</v>
      </c>
      <c r="F52" s="1" t="s">
        <v>73</v>
      </c>
      <c r="G52" s="1">
        <v>10</v>
      </c>
      <c r="H52" s="1">
        <v>45</v>
      </c>
      <c r="I52" s="1">
        <f>IF(ISBLANK(Table1[[#This Row],[DURATION]])," ",G52*H52)</f>
        <v>450</v>
      </c>
      <c r="J52" s="3">
        <v>1.6</v>
      </c>
      <c r="K52" s="3">
        <v>1.1000000000000001</v>
      </c>
      <c r="L52" s="1">
        <v>50</v>
      </c>
      <c r="M52" s="1">
        <v>160</v>
      </c>
      <c r="N52" s="1">
        <f t="shared" si="5"/>
        <v>20</v>
      </c>
      <c r="O52" s="1" t="str">
        <f t="shared" si="6"/>
        <v>NORMAL</v>
      </c>
      <c r="P52" s="1" t="str">
        <f t="shared" si="7"/>
        <v>ACTIVE</v>
      </c>
    </row>
    <row r="53" spans="1:16" x14ac:dyDescent="0.25">
      <c r="A53" s="1" t="s">
        <v>27</v>
      </c>
      <c r="B53" s="2">
        <v>45838</v>
      </c>
      <c r="C53" s="1" t="str">
        <f t="shared" si="4"/>
        <v>Monday</v>
      </c>
      <c r="D53" s="1">
        <v>11411</v>
      </c>
      <c r="E53" s="1" t="s">
        <v>65</v>
      </c>
      <c r="F53" s="1" t="s">
        <v>74</v>
      </c>
      <c r="G53" s="1">
        <v>6</v>
      </c>
      <c r="H53" s="1">
        <v>25</v>
      </c>
      <c r="I53" s="1">
        <f>IF(ISBLANK(Table1[[#This Row],[DURATION]])," ",G53*H53)</f>
        <v>150</v>
      </c>
      <c r="J53" s="3">
        <v>5.5</v>
      </c>
      <c r="K53" s="3">
        <v>1</v>
      </c>
      <c r="L53" s="1">
        <v>106</v>
      </c>
      <c r="M53" s="1">
        <v>159</v>
      </c>
      <c r="N53" s="1">
        <f t="shared" si="5"/>
        <v>42</v>
      </c>
      <c r="O53" s="1" t="str">
        <f t="shared" si="6"/>
        <v>OBESE</v>
      </c>
      <c r="P53" s="1" t="str">
        <f t="shared" si="7"/>
        <v>ACTIVE</v>
      </c>
    </row>
    <row r="54" spans="1:16" x14ac:dyDescent="0.25">
      <c r="A54" s="1" t="s">
        <v>47</v>
      </c>
      <c r="B54" s="2">
        <v>45838</v>
      </c>
      <c r="C54" s="1" t="str">
        <f t="shared" si="4"/>
        <v>Monday</v>
      </c>
      <c r="D54" s="1">
        <v>2475</v>
      </c>
      <c r="E54" s="1" t="s">
        <v>64</v>
      </c>
      <c r="F54" s="1" t="s">
        <v>75</v>
      </c>
      <c r="G54" s="1">
        <v>5</v>
      </c>
      <c r="H54" s="1">
        <v>50</v>
      </c>
      <c r="I54" s="1">
        <f>IF(ISBLANK(Table1[[#This Row],[DURATION]])," ",G54*H54)</f>
        <v>250</v>
      </c>
      <c r="J54" s="3">
        <v>6.1</v>
      </c>
      <c r="K54" s="3">
        <v>2.2999999999999998</v>
      </c>
      <c r="L54" s="1">
        <v>62</v>
      </c>
      <c r="M54" s="1">
        <v>158</v>
      </c>
      <c r="N54" s="1">
        <f t="shared" si="5"/>
        <v>25</v>
      </c>
      <c r="O54" s="1" t="str">
        <f t="shared" si="6"/>
        <v>OVERWEIGHT</v>
      </c>
      <c r="P54" s="1" t="str">
        <f t="shared" si="7"/>
        <v>IN ACTIVE</v>
      </c>
    </row>
    <row r="55" spans="1:16" x14ac:dyDescent="0.25">
      <c r="A55" s="1" t="s">
        <v>39</v>
      </c>
      <c r="B55" s="2">
        <v>45838</v>
      </c>
      <c r="C55" s="1" t="str">
        <f t="shared" si="4"/>
        <v>Monday</v>
      </c>
      <c r="D55" s="1">
        <v>5781</v>
      </c>
      <c r="E55" s="1" t="s">
        <v>67</v>
      </c>
      <c r="F55" s="1" t="s">
        <v>76</v>
      </c>
      <c r="G55" s="1">
        <v>5</v>
      </c>
      <c r="H55" s="1">
        <v>20</v>
      </c>
      <c r="I55" s="1">
        <f>IF(ISBLANK(Table1[[#This Row],[DURATION]])," ",G55*H55)</f>
        <v>100</v>
      </c>
      <c r="J55" s="3">
        <v>4.5</v>
      </c>
      <c r="K55" s="3">
        <v>2.4</v>
      </c>
      <c r="L55" s="1">
        <v>47</v>
      </c>
      <c r="M55" s="1">
        <v>161</v>
      </c>
      <c r="N55" s="1">
        <f t="shared" si="5"/>
        <v>18</v>
      </c>
      <c r="O55" s="1" t="str">
        <f t="shared" si="6"/>
        <v>NORMAL</v>
      </c>
      <c r="P55" s="1" t="str">
        <f t="shared" si="7"/>
        <v>IN ACTIVE</v>
      </c>
    </row>
    <row r="56" spans="1:16" x14ac:dyDescent="0.25">
      <c r="A56" s="1" t="s">
        <v>60</v>
      </c>
      <c r="B56" s="2">
        <v>45838</v>
      </c>
      <c r="C56" s="1" t="str">
        <f t="shared" si="4"/>
        <v>Monday</v>
      </c>
      <c r="D56" s="1">
        <v>14320</v>
      </c>
      <c r="E56" s="1" t="s">
        <v>64</v>
      </c>
      <c r="F56" s="1" t="s">
        <v>77</v>
      </c>
      <c r="G56" s="1">
        <v>9</v>
      </c>
      <c r="H56" s="1">
        <v>65</v>
      </c>
      <c r="I56" s="1">
        <f>IF(ISBLANK(Table1[[#This Row],[DURATION]])," ",G56*H56)</f>
        <v>585</v>
      </c>
      <c r="J56" s="3">
        <v>6.3</v>
      </c>
      <c r="K56" s="3">
        <v>1.5</v>
      </c>
      <c r="L56" s="1">
        <v>47</v>
      </c>
      <c r="M56" s="1">
        <v>150</v>
      </c>
      <c r="N56" s="1">
        <f t="shared" si="5"/>
        <v>21</v>
      </c>
      <c r="O56" s="1" t="str">
        <f t="shared" si="6"/>
        <v>NORMAL</v>
      </c>
      <c r="P56" s="1" t="str">
        <f t="shared" si="7"/>
        <v>ACTIVE</v>
      </c>
    </row>
    <row r="57" spans="1:16" x14ac:dyDescent="0.25">
      <c r="A57" s="1" t="s">
        <v>87</v>
      </c>
      <c r="B57" s="2">
        <v>45838</v>
      </c>
      <c r="C57" s="1" t="str">
        <f t="shared" si="4"/>
        <v>Monday</v>
      </c>
      <c r="D57" s="1">
        <v>11000</v>
      </c>
      <c r="E57" s="1" t="s">
        <v>65</v>
      </c>
      <c r="F57" s="1" t="s">
        <v>69</v>
      </c>
      <c r="G57" s="1">
        <v>7</v>
      </c>
      <c r="H57" s="1">
        <v>60</v>
      </c>
      <c r="I57" s="6">
        <f>IF(ISBLANK(Table1[[#This Row],[DURATION]])," ",G57*H57)</f>
        <v>420</v>
      </c>
      <c r="J57" s="3">
        <v>8</v>
      </c>
      <c r="K57" s="3">
        <v>1</v>
      </c>
      <c r="L57" s="1">
        <v>55</v>
      </c>
      <c r="M57" s="1">
        <v>156</v>
      </c>
      <c r="N57" s="1">
        <f t="shared" si="5"/>
        <v>23</v>
      </c>
      <c r="O57" s="1" t="str">
        <f t="shared" si="6"/>
        <v>NORMAL</v>
      </c>
      <c r="P57" s="1" t="str">
        <f t="shared" si="7"/>
        <v>ACTIVE</v>
      </c>
    </row>
    <row r="58" spans="1:16" x14ac:dyDescent="0.25">
      <c r="A58" s="1" t="s">
        <v>48</v>
      </c>
      <c r="B58" s="2">
        <v>45838</v>
      </c>
      <c r="C58" s="1" t="str">
        <f t="shared" si="4"/>
        <v>Monday</v>
      </c>
      <c r="D58" s="1">
        <v>6455</v>
      </c>
      <c r="E58" s="1" t="s">
        <v>67</v>
      </c>
      <c r="F58" s="1" t="s">
        <v>71</v>
      </c>
      <c r="G58" s="1">
        <v>6</v>
      </c>
      <c r="H58" s="1">
        <v>45</v>
      </c>
      <c r="I58" s="1">
        <f>IF(ISBLANK(Table1[[#This Row],[DURATION]])," ",G58*H58)</f>
        <v>270</v>
      </c>
      <c r="J58" s="3">
        <v>5</v>
      </c>
      <c r="K58" s="3">
        <v>1.1000000000000001</v>
      </c>
      <c r="L58" s="1">
        <v>98</v>
      </c>
      <c r="M58" s="1">
        <v>168</v>
      </c>
      <c r="N58" s="1">
        <f t="shared" si="5"/>
        <v>35</v>
      </c>
      <c r="O58" s="1" t="str">
        <f t="shared" si="6"/>
        <v>OBESE</v>
      </c>
      <c r="P58" s="1" t="str">
        <f t="shared" si="7"/>
        <v>IN ACTIVE</v>
      </c>
    </row>
    <row r="59" spans="1:16" x14ac:dyDescent="0.25">
      <c r="A59" s="1" t="s">
        <v>28</v>
      </c>
      <c r="B59" s="2">
        <v>45838</v>
      </c>
      <c r="C59" s="1" t="str">
        <f t="shared" si="4"/>
        <v>Monday</v>
      </c>
      <c r="D59" s="1">
        <v>5478</v>
      </c>
      <c r="E59" s="1" t="s">
        <v>66</v>
      </c>
      <c r="F59" s="1" t="s">
        <v>72</v>
      </c>
      <c r="G59" s="1">
        <v>7</v>
      </c>
      <c r="H59" s="1">
        <v>25</v>
      </c>
      <c r="I59" s="1">
        <f>IF(ISBLANK(Table1[[#This Row],[DURATION]])," ",G59*H59)</f>
        <v>175</v>
      </c>
      <c r="J59" s="3">
        <v>4.2</v>
      </c>
      <c r="K59" s="3">
        <v>2.5</v>
      </c>
      <c r="L59" s="1">
        <v>66</v>
      </c>
      <c r="M59" s="1">
        <v>172</v>
      </c>
      <c r="N59" s="1">
        <f t="shared" si="5"/>
        <v>22</v>
      </c>
      <c r="O59" s="1" t="str">
        <f t="shared" si="6"/>
        <v>NORMAL</v>
      </c>
      <c r="P59" s="1" t="str">
        <f t="shared" si="7"/>
        <v>IN ACTIVE</v>
      </c>
    </row>
    <row r="60" spans="1:16" x14ac:dyDescent="0.25">
      <c r="A60" s="1" t="s">
        <v>45</v>
      </c>
      <c r="B60" s="2">
        <v>45838</v>
      </c>
      <c r="C60" s="1" t="str">
        <f t="shared" si="4"/>
        <v>Monday</v>
      </c>
      <c r="D60" s="1">
        <v>10250</v>
      </c>
      <c r="E60" s="1" t="s">
        <v>65</v>
      </c>
      <c r="F60" s="1" t="s">
        <v>73</v>
      </c>
      <c r="G60" s="1">
        <v>10</v>
      </c>
      <c r="H60" s="1">
        <v>40</v>
      </c>
      <c r="I60" s="1">
        <f>IF(ISBLANK(Table1[[#This Row],[DURATION]])," ",G60*H60)</f>
        <v>400</v>
      </c>
      <c r="J60" s="3">
        <v>6.6</v>
      </c>
      <c r="K60" s="3">
        <v>1.9</v>
      </c>
      <c r="L60" s="1">
        <v>75</v>
      </c>
      <c r="M60" s="1">
        <v>175</v>
      </c>
      <c r="N60" s="1">
        <f t="shared" si="5"/>
        <v>24</v>
      </c>
      <c r="O60" s="1" t="str">
        <f t="shared" si="6"/>
        <v>NORMAL</v>
      </c>
      <c r="P60" s="1" t="str">
        <f t="shared" si="7"/>
        <v>ACTIVE</v>
      </c>
    </row>
    <row r="61" spans="1:16" x14ac:dyDescent="0.25">
      <c r="A61" s="1" t="s">
        <v>84</v>
      </c>
      <c r="B61" s="2">
        <v>45838</v>
      </c>
      <c r="C61" s="1" t="str">
        <f t="shared" si="4"/>
        <v>Monday</v>
      </c>
      <c r="D61" s="1">
        <v>9000</v>
      </c>
      <c r="E61" s="1" t="s">
        <v>65</v>
      </c>
      <c r="F61" s="1" t="s">
        <v>75</v>
      </c>
      <c r="G61" s="1">
        <v>5</v>
      </c>
      <c r="H61" s="1">
        <v>25</v>
      </c>
      <c r="I61" s="6">
        <f>IF(ISBLANK(Table1[[#This Row],[DURATION]])," ",G61*H61)</f>
        <v>125</v>
      </c>
      <c r="J61" s="3">
        <v>3.9</v>
      </c>
      <c r="K61" s="3">
        <v>1.8</v>
      </c>
      <c r="L61" s="1">
        <v>85</v>
      </c>
      <c r="M61" s="1">
        <v>110</v>
      </c>
      <c r="N61" s="1">
        <f t="shared" si="5"/>
        <v>70</v>
      </c>
      <c r="O61" s="1" t="str">
        <f t="shared" si="6"/>
        <v>OBESE</v>
      </c>
      <c r="P61" s="1" t="str">
        <f t="shared" si="7"/>
        <v>ACTIVE</v>
      </c>
    </row>
  </sheetData>
  <sortState ref="A3:N54">
    <sortCondition ref="A3"/>
  </sortState>
  <mergeCells count="1">
    <mergeCell ref="A1:P1"/>
  </mergeCells>
  <conditionalFormatting sqref="A2:P61">
    <cfRule type="cellIs" dxfId="127" priority="7" operator="equal">
      <formula>"IN ACTIVE"</formula>
    </cfRule>
    <cfRule type="cellIs" dxfId="126" priority="8" operator="equal">
      <formula>"INACTIVE"</formula>
    </cfRule>
    <cfRule type="cellIs" dxfId="125" priority="9" operator="equal">
      <formula>"OBESE"</formula>
    </cfRule>
  </conditionalFormatting>
  <conditionalFormatting sqref="J2:J61">
    <cfRule type="cellIs" dxfId="124" priority="6" operator="lessThan">
      <formula>6</formula>
    </cfRule>
  </conditionalFormatting>
  <conditionalFormatting sqref="I2:I61">
    <cfRule type="dataBar" priority="5">
      <dataBar>
        <cfvo type="min"/>
        <cfvo type="max"/>
        <color rgb="FFD6007B"/>
      </dataBar>
      <extLst>
        <ext xmlns:x14="http://schemas.microsoft.com/office/spreadsheetml/2009/9/main" uri="{B025F937-C7B1-47D3-B67F-A62EFF666E3E}">
          <x14:id>{F4241078-9CAB-47D0-BEE9-91F78B42D394}</x14:id>
        </ext>
      </extLst>
    </cfRule>
  </conditionalFormatting>
  <conditionalFormatting sqref="N1:N1048576">
    <cfRule type="cellIs" priority="3" operator="lessThan">
      <formula>20</formula>
    </cfRule>
    <cfRule type="iconSet" priority="4">
      <iconSet iconSet="4Arrows" reverse="1">
        <cfvo type="percent" val="0"/>
        <cfvo type="percent" val="25"/>
        <cfvo type="percent" val="50"/>
        <cfvo type="percent" val="75"/>
      </iconSet>
    </cfRule>
  </conditionalFormatting>
  <conditionalFormatting sqref="D3:D61">
    <cfRule type="cellIs" dxfId="123" priority="1" operator="greaterThan">
      <formula>7000</formula>
    </cfRule>
  </conditionalFormatting>
  <dataValidations count="2">
    <dataValidation type="list" allowBlank="1" showInputMessage="1" showErrorMessage="1" sqref="F3:F61">
      <formula1>"RUNNING,WALKING,YOGA,GYM,CYCLING,TREAD MILL,WEIGHT LIFTING,SQUADS,STRETCHING,PUSHUPS"</formula1>
    </dataValidation>
    <dataValidation type="list" allowBlank="1" showInputMessage="1" showErrorMessage="1" sqref="E3:E61">
      <formula1>"HAPPY,ENERGETIC,TIRED,LAZY"</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4241078-9CAB-47D0-BEE9-91F78B42D394}">
            <x14:dataBar minLength="0" maxLength="100" border="1" negativeBarBorderColorSameAsPositive="0">
              <x14:cfvo type="autoMin"/>
              <x14:cfvo type="autoMax"/>
              <x14:borderColor rgb="FFD6007B"/>
              <x14:negativeFillColor rgb="FFFF0000"/>
              <x14:negativeBorderColor rgb="FFFF0000"/>
              <x14:axisColor rgb="FF000000"/>
            </x14:dataBar>
          </x14:cfRule>
          <xm:sqref>I2:I61</xm:sqref>
        </x14:conditionalFormatting>
        <x14:conditionalFormatting xmlns:xm="http://schemas.microsoft.com/office/excel/2006/main">
          <x14:cfRule type="iconSet" priority="2" id="{D3DCD209-59EB-4CDE-BEC5-A105C8556AE0}">
            <x14:iconSet iconSet="4TrafficLights" custom="1">
              <x14:cfvo type="percent">
                <xm:f>0</xm:f>
              </x14:cfvo>
              <x14:cfvo type="num">
                <xm:f>16</xm:f>
              </x14:cfvo>
              <x14:cfvo type="num">
                <xm:f>25</xm:f>
              </x14:cfvo>
              <x14:cfvo type="num">
                <xm:f>30</xm:f>
              </x14:cfvo>
              <x14:cfIcon iconSet="3TrafficLights1" iconId="1"/>
              <x14:cfIcon iconSet="3TrafficLights1" iconId="2"/>
              <x14:cfIcon iconSet="4TrafficLights" iconId="0"/>
              <x14:cfIcon iconSet="3TrafficLights1" iconId="0"/>
            </x14:iconSet>
          </x14:cfRule>
          <xm:sqref>N1:N1048576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
  <sheetViews>
    <sheetView zoomScale="82" zoomScaleNormal="82" workbookViewId="0">
      <selection activeCell="K4" sqref="K4"/>
    </sheetView>
  </sheetViews>
  <sheetFormatPr defaultRowHeight="15" x14ac:dyDescent="0.25"/>
  <cols>
    <col min="1" max="1" width="13.5703125" bestFit="1" customWidth="1"/>
    <col min="2" max="2" width="16.28515625" bestFit="1" customWidth="1"/>
    <col min="3" max="3" width="25.140625" customWidth="1"/>
    <col min="4" max="4" width="15.28515625" customWidth="1"/>
    <col min="5" max="5" width="16.85546875" bestFit="1" customWidth="1"/>
    <col min="6" max="6" width="19.7109375" bestFit="1" customWidth="1"/>
    <col min="7" max="7" width="11.28515625" customWidth="1"/>
    <col min="8" max="8" width="9.140625" hidden="1" customWidth="1"/>
    <col min="9" max="9" width="5.5703125" customWidth="1"/>
    <col min="10" max="10" width="7.42578125" customWidth="1"/>
    <col min="11" max="11" width="16.5703125" bestFit="1" customWidth="1"/>
    <col min="12" max="12" width="18.28515625" customWidth="1"/>
    <col min="13" max="13" width="7.42578125" customWidth="1"/>
    <col min="14" max="14" width="21.28515625" customWidth="1"/>
    <col min="15" max="15" width="10.42578125" customWidth="1"/>
    <col min="16" max="16" width="11.28515625" customWidth="1"/>
  </cols>
  <sheetData>
    <row r="1" spans="1:17" x14ac:dyDescent="0.25">
      <c r="A1" s="56" t="s">
        <v>90</v>
      </c>
      <c r="B1" s="56"/>
      <c r="C1" s="56"/>
      <c r="D1" s="56"/>
      <c r="E1" s="56"/>
      <c r="F1" s="56"/>
      <c r="G1" s="56"/>
      <c r="H1" s="56"/>
    </row>
    <row r="2" spans="1:17" x14ac:dyDescent="0.25">
      <c r="J2" s="55" t="s">
        <v>93</v>
      </c>
      <c r="K2" s="55"/>
      <c r="L2" s="55"/>
      <c r="M2" s="55"/>
      <c r="N2" s="55"/>
      <c r="O2" s="55"/>
      <c r="P2" s="55"/>
      <c r="Q2" s="55"/>
    </row>
    <row r="3" spans="1:17" x14ac:dyDescent="0.25">
      <c r="C3" s="57" t="str">
        <f>INDEX('DAILY WORKOUT LOG'!A3:A61,MATCH(MAX('DAILY WORKOUT LOG'!I3:I61),'DAILY WORKOUT LOG'!I3:I61,0))</f>
        <v>KARTHICK</v>
      </c>
      <c r="D3" s="57"/>
      <c r="E3" s="57"/>
      <c r="F3" s="57"/>
    </row>
    <row r="4" spans="1:17" x14ac:dyDescent="0.25">
      <c r="K4" s="21" t="s">
        <v>96</v>
      </c>
      <c r="L4" s="22" t="s">
        <v>104</v>
      </c>
      <c r="M4" s="22" t="s">
        <v>101</v>
      </c>
      <c r="N4" s="22" t="s">
        <v>102</v>
      </c>
      <c r="O4" s="22" t="s">
        <v>103</v>
      </c>
    </row>
    <row r="5" spans="1:17" x14ac:dyDescent="0.25">
      <c r="A5" s="58" t="s">
        <v>91</v>
      </c>
      <c r="B5" s="58"/>
      <c r="C5" s="58"/>
      <c r="D5" s="58"/>
      <c r="E5" s="58"/>
      <c r="F5" s="58"/>
      <c r="G5" s="58"/>
      <c r="H5" s="58"/>
      <c r="K5" s="23" t="s">
        <v>15</v>
      </c>
      <c r="L5" s="24">
        <v>720</v>
      </c>
      <c r="M5" s="25">
        <v>12400</v>
      </c>
      <c r="N5" s="25">
        <v>72</v>
      </c>
      <c r="O5" s="25">
        <v>2</v>
      </c>
    </row>
    <row r="6" spans="1:17" x14ac:dyDescent="0.25">
      <c r="K6" s="23" t="s">
        <v>14</v>
      </c>
      <c r="L6" s="24">
        <v>700</v>
      </c>
      <c r="M6" s="25">
        <v>11900</v>
      </c>
      <c r="N6" s="25">
        <v>70</v>
      </c>
      <c r="O6" s="25">
        <v>2.1</v>
      </c>
    </row>
    <row r="7" spans="1:17" x14ac:dyDescent="0.25">
      <c r="B7" s="10" t="s">
        <v>16</v>
      </c>
      <c r="C7" s="57">
        <f>VLOOKUP(B7,'DAILY WORKOUT LOG'!A:P,4,FALSE)</f>
        <v>12600</v>
      </c>
      <c r="D7" s="57"/>
      <c r="E7" s="57"/>
      <c r="F7" s="57"/>
      <c r="K7" s="23" t="s">
        <v>99</v>
      </c>
      <c r="L7" s="24">
        <v>620</v>
      </c>
      <c r="M7" s="25">
        <v>12800</v>
      </c>
      <c r="N7" s="25">
        <v>85</v>
      </c>
      <c r="O7" s="25">
        <v>4.0999999999999996</v>
      </c>
    </row>
    <row r="8" spans="1:17" x14ac:dyDescent="0.25">
      <c r="K8" s="22" t="s">
        <v>60</v>
      </c>
      <c r="L8" s="24">
        <v>585</v>
      </c>
      <c r="M8" s="26">
        <v>14320</v>
      </c>
      <c r="N8" s="26">
        <v>65</v>
      </c>
      <c r="O8" s="26">
        <v>1.5</v>
      </c>
    </row>
    <row r="9" spans="1:17" x14ac:dyDescent="0.25">
      <c r="K9" s="22" t="s">
        <v>49</v>
      </c>
      <c r="L9" s="24">
        <v>500</v>
      </c>
      <c r="M9" s="24">
        <v>5000</v>
      </c>
      <c r="N9" s="24">
        <v>50</v>
      </c>
      <c r="O9" s="24">
        <v>2.1</v>
      </c>
    </row>
    <row r="10" spans="1:17" x14ac:dyDescent="0.25">
      <c r="A10" s="59" t="s">
        <v>98</v>
      </c>
      <c r="B10" s="59"/>
      <c r="C10" s="59"/>
      <c r="D10" s="59"/>
      <c r="E10" s="59"/>
      <c r="F10" s="59"/>
      <c r="G10" s="59"/>
      <c r="H10" s="59"/>
      <c r="K10" s="22" t="s">
        <v>43</v>
      </c>
      <c r="L10" s="24">
        <v>480</v>
      </c>
      <c r="M10" s="24">
        <v>5000</v>
      </c>
      <c r="N10" s="24">
        <v>60</v>
      </c>
      <c r="O10" s="24">
        <v>1.8</v>
      </c>
    </row>
    <row r="11" spans="1:17" x14ac:dyDescent="0.25">
      <c r="K11" s="22" t="s">
        <v>59</v>
      </c>
      <c r="L11" s="24">
        <v>450</v>
      </c>
      <c r="M11" s="24">
        <v>7744</v>
      </c>
      <c r="N11" s="24">
        <v>45</v>
      </c>
      <c r="O11" s="24">
        <v>1.1000000000000001</v>
      </c>
    </row>
    <row r="12" spans="1:17" x14ac:dyDescent="0.25">
      <c r="B12" s="11">
        <v>70</v>
      </c>
      <c r="C12" s="57" t="str">
        <f>IFERROR(INDEX('DAILY WORKOUT LOG'!A3:A61,MATCH('MEMBER ANALYSIS'!B12,'DAILY WORKOUT LOG'!H3:H61,0)),"NO DATA")</f>
        <v>PRABHA</v>
      </c>
      <c r="D12" s="57"/>
      <c r="E12" s="57"/>
      <c r="F12" s="57"/>
      <c r="K12" s="22" t="s">
        <v>16</v>
      </c>
      <c r="L12" s="24">
        <v>450</v>
      </c>
      <c r="M12" s="24">
        <v>12600</v>
      </c>
      <c r="N12" s="24">
        <v>45</v>
      </c>
      <c r="O12" s="24">
        <v>2.7</v>
      </c>
    </row>
    <row r="13" spans="1:17" x14ac:dyDescent="0.25">
      <c r="K13" s="22" t="s">
        <v>46</v>
      </c>
      <c r="L13" s="24">
        <v>450</v>
      </c>
      <c r="M13" s="24">
        <v>8800</v>
      </c>
      <c r="N13" s="24">
        <v>45</v>
      </c>
      <c r="O13" s="24">
        <v>1</v>
      </c>
    </row>
    <row r="14" spans="1:17" x14ac:dyDescent="0.25">
      <c r="A14" s="61" t="s">
        <v>92</v>
      </c>
      <c r="B14" s="61"/>
      <c r="C14" s="61"/>
      <c r="D14" s="61"/>
      <c r="E14" s="61"/>
      <c r="F14" s="61"/>
      <c r="G14" s="61"/>
      <c r="H14" s="61"/>
      <c r="K14" s="22" t="s">
        <v>44</v>
      </c>
      <c r="L14" s="24">
        <v>440</v>
      </c>
      <c r="M14" s="24">
        <v>10000</v>
      </c>
      <c r="N14" s="24">
        <v>55</v>
      </c>
      <c r="O14" s="24">
        <v>2.6</v>
      </c>
    </row>
    <row r="15" spans="1:17" x14ac:dyDescent="0.25">
      <c r="K15" s="22" t="s">
        <v>87</v>
      </c>
      <c r="L15" s="24">
        <v>420</v>
      </c>
      <c r="M15" s="24">
        <v>11000</v>
      </c>
      <c r="N15" s="24">
        <v>60</v>
      </c>
      <c r="O15" s="24">
        <v>1</v>
      </c>
    </row>
    <row r="16" spans="1:17" x14ac:dyDescent="0.25">
      <c r="B16" t="s">
        <v>17</v>
      </c>
      <c r="C16" s="62" t="str">
        <f>VLOOKUP(B16,'DAILY WORKOUT LOG'!A2:P61,15,FALSE)</f>
        <v>NORMAL</v>
      </c>
      <c r="D16" s="62"/>
      <c r="E16" s="62"/>
      <c r="F16" s="62"/>
      <c r="K16" s="22" t="s">
        <v>57</v>
      </c>
      <c r="L16" s="24">
        <v>420</v>
      </c>
      <c r="M16" s="24">
        <v>12200</v>
      </c>
      <c r="N16" s="24">
        <v>60</v>
      </c>
      <c r="O16" s="24">
        <v>1.6</v>
      </c>
    </row>
    <row r="17" spans="1:15" x14ac:dyDescent="0.25">
      <c r="K17" s="22" t="s">
        <v>63</v>
      </c>
      <c r="L17" s="24">
        <v>405</v>
      </c>
      <c r="M17" s="24">
        <v>4200</v>
      </c>
      <c r="N17" s="24">
        <v>45</v>
      </c>
      <c r="O17" s="24">
        <v>2.8</v>
      </c>
    </row>
    <row r="18" spans="1:15" x14ac:dyDescent="0.25">
      <c r="A18" s="63" t="s">
        <v>95</v>
      </c>
      <c r="B18" s="63"/>
      <c r="C18" s="63"/>
      <c r="D18" s="63"/>
      <c r="E18" s="63"/>
      <c r="F18" s="63"/>
      <c r="G18" s="63"/>
      <c r="H18" s="63"/>
      <c r="K18" s="22" t="s">
        <v>21</v>
      </c>
      <c r="L18" s="24">
        <v>400</v>
      </c>
      <c r="M18" s="24">
        <v>14570</v>
      </c>
      <c r="N18" s="24">
        <v>40</v>
      </c>
      <c r="O18" s="24">
        <v>2.2000000000000002</v>
      </c>
    </row>
    <row r="19" spans="1:15" x14ac:dyDescent="0.25">
      <c r="K19" s="22" t="s">
        <v>45</v>
      </c>
      <c r="L19" s="24">
        <v>400</v>
      </c>
      <c r="M19" s="24">
        <v>10250</v>
      </c>
      <c r="N19" s="24">
        <v>40</v>
      </c>
      <c r="O19" s="24">
        <v>1.9</v>
      </c>
    </row>
    <row r="20" spans="1:15" x14ac:dyDescent="0.25">
      <c r="C20" s="57">
        <f>COUNTIF('DAILY WORKOUT LOG'!K3:K61,"&lt;2")</f>
        <v>24</v>
      </c>
      <c r="D20" s="57"/>
      <c r="E20" s="57"/>
      <c r="F20" s="57"/>
      <c r="K20" s="22" t="s">
        <v>42</v>
      </c>
      <c r="L20" s="24">
        <v>390</v>
      </c>
      <c r="M20" s="24">
        <v>5900</v>
      </c>
      <c r="N20" s="24">
        <v>65</v>
      </c>
      <c r="O20" s="24">
        <v>2.7</v>
      </c>
    </row>
    <row r="21" spans="1:15" x14ac:dyDescent="0.25">
      <c r="K21" s="22" t="s">
        <v>40</v>
      </c>
      <c r="L21" s="24">
        <v>385</v>
      </c>
      <c r="M21" s="24">
        <v>7851</v>
      </c>
      <c r="N21" s="24">
        <v>55</v>
      </c>
      <c r="O21" s="24">
        <v>1.3</v>
      </c>
    </row>
    <row r="22" spans="1:15" x14ac:dyDescent="0.25">
      <c r="K22" s="22" t="s">
        <v>83</v>
      </c>
      <c r="L22" s="24">
        <v>384</v>
      </c>
      <c r="M22" s="24">
        <v>12100</v>
      </c>
      <c r="N22" s="24">
        <v>64</v>
      </c>
      <c r="O22" s="24">
        <v>1.9</v>
      </c>
    </row>
    <row r="23" spans="1:15" x14ac:dyDescent="0.25">
      <c r="K23" s="22" t="s">
        <v>35</v>
      </c>
      <c r="L23" s="24">
        <v>360</v>
      </c>
      <c r="M23" s="24">
        <v>14000</v>
      </c>
      <c r="N23" s="24">
        <v>45</v>
      </c>
      <c r="O23" s="24">
        <v>2.4</v>
      </c>
    </row>
    <row r="24" spans="1:15" x14ac:dyDescent="0.25">
      <c r="A24" s="60" t="s">
        <v>97</v>
      </c>
      <c r="B24" s="60"/>
      <c r="C24" s="60"/>
      <c r="D24" s="60"/>
      <c r="E24" s="60"/>
      <c r="F24" s="60"/>
      <c r="G24" s="60"/>
      <c r="K24" s="22" t="s">
        <v>53</v>
      </c>
      <c r="L24" s="24">
        <v>360</v>
      </c>
      <c r="M24" s="24">
        <v>9200</v>
      </c>
      <c r="N24" s="24">
        <v>60</v>
      </c>
      <c r="O24" s="24">
        <v>2.2999999999999998</v>
      </c>
    </row>
    <row r="25" spans="1:15" x14ac:dyDescent="0.25">
      <c r="K25" s="22" t="s">
        <v>20</v>
      </c>
      <c r="L25" s="24">
        <v>350</v>
      </c>
      <c r="M25" s="24">
        <v>11240</v>
      </c>
      <c r="N25" s="24">
        <v>50</v>
      </c>
      <c r="O25" s="24">
        <v>2.2000000000000002</v>
      </c>
    </row>
    <row r="26" spans="1:15" x14ac:dyDescent="0.25">
      <c r="B26" s="20" t="s">
        <v>96</v>
      </c>
      <c r="C26" s="19" t="s">
        <v>79</v>
      </c>
      <c r="D26" s="18" t="s">
        <v>4</v>
      </c>
      <c r="E26" s="28" t="s">
        <v>105</v>
      </c>
      <c r="K26" s="22" t="s">
        <v>12</v>
      </c>
      <c r="L26" s="24">
        <v>350</v>
      </c>
      <c r="M26" s="24">
        <v>12500</v>
      </c>
      <c r="N26" s="24">
        <v>50</v>
      </c>
      <c r="O26" s="24">
        <v>2.5</v>
      </c>
    </row>
    <row r="27" spans="1:15" x14ac:dyDescent="0.25">
      <c r="B27" s="13" t="s">
        <v>15</v>
      </c>
      <c r="C27" s="12">
        <v>720</v>
      </c>
      <c r="D27" s="14">
        <v>12400</v>
      </c>
      <c r="E27" s="25">
        <v>72</v>
      </c>
      <c r="K27" s="22" t="s">
        <v>85</v>
      </c>
      <c r="L27" s="24">
        <v>333</v>
      </c>
      <c r="M27" s="24">
        <v>4600</v>
      </c>
      <c r="N27" s="24">
        <v>37</v>
      </c>
      <c r="O27" s="24">
        <v>2</v>
      </c>
    </row>
    <row r="28" spans="1:15" x14ac:dyDescent="0.25">
      <c r="B28" s="13" t="s">
        <v>14</v>
      </c>
      <c r="C28" s="12">
        <v>700</v>
      </c>
      <c r="D28" s="14">
        <v>11900</v>
      </c>
      <c r="E28" s="25">
        <v>70</v>
      </c>
      <c r="K28" s="22" t="s">
        <v>31</v>
      </c>
      <c r="L28" s="24">
        <v>330</v>
      </c>
      <c r="M28" s="24">
        <v>8900</v>
      </c>
      <c r="N28" s="24">
        <v>55</v>
      </c>
      <c r="O28" s="24">
        <v>1.9</v>
      </c>
    </row>
    <row r="29" spans="1:15" x14ac:dyDescent="0.25">
      <c r="B29" s="15" t="s">
        <v>99</v>
      </c>
      <c r="C29" s="16">
        <v>620</v>
      </c>
      <c r="D29" s="17">
        <v>12800</v>
      </c>
      <c r="E29" s="25">
        <v>85</v>
      </c>
      <c r="K29" s="22" t="s">
        <v>37</v>
      </c>
      <c r="L29" s="24">
        <v>330</v>
      </c>
      <c r="M29" s="24">
        <v>4500</v>
      </c>
      <c r="N29" s="24">
        <v>55</v>
      </c>
      <c r="O29" s="24">
        <v>2.5</v>
      </c>
    </row>
    <row r="30" spans="1:15" x14ac:dyDescent="0.25">
      <c r="K30" s="22" t="s">
        <v>54</v>
      </c>
      <c r="L30" s="24">
        <v>325</v>
      </c>
      <c r="M30" s="24">
        <v>7000</v>
      </c>
      <c r="N30" s="24">
        <v>65</v>
      </c>
      <c r="O30" s="24">
        <v>2.4</v>
      </c>
    </row>
    <row r="31" spans="1:15" x14ac:dyDescent="0.25">
      <c r="K31" s="22" t="s">
        <v>13</v>
      </c>
      <c r="L31" s="24">
        <v>320</v>
      </c>
      <c r="M31" s="24">
        <v>10000</v>
      </c>
      <c r="N31" s="24">
        <v>40</v>
      </c>
      <c r="O31" s="24">
        <v>2</v>
      </c>
    </row>
    <row r="32" spans="1:15" x14ac:dyDescent="0.25">
      <c r="K32" s="22" t="s">
        <v>25</v>
      </c>
      <c r="L32" s="24">
        <v>300</v>
      </c>
      <c r="M32" s="24">
        <v>4500</v>
      </c>
      <c r="N32" s="24">
        <v>60</v>
      </c>
      <c r="O32" s="24">
        <v>2.1</v>
      </c>
    </row>
    <row r="33" spans="11:15" x14ac:dyDescent="0.25">
      <c r="K33" s="22" t="s">
        <v>82</v>
      </c>
      <c r="L33" s="24">
        <v>288</v>
      </c>
      <c r="M33" s="24">
        <v>5000</v>
      </c>
      <c r="N33" s="24">
        <v>48</v>
      </c>
      <c r="O33" s="24">
        <v>1.5</v>
      </c>
    </row>
    <row r="34" spans="11:15" x14ac:dyDescent="0.25">
      <c r="K34" s="22" t="s">
        <v>86</v>
      </c>
      <c r="L34" s="24">
        <v>288</v>
      </c>
      <c r="M34" s="24">
        <v>3700</v>
      </c>
      <c r="N34" s="24">
        <v>48</v>
      </c>
      <c r="O34" s="24">
        <v>2.2000000000000002</v>
      </c>
    </row>
    <row r="35" spans="11:15" x14ac:dyDescent="0.25">
      <c r="K35" s="22" t="s">
        <v>17</v>
      </c>
      <c r="L35" s="24">
        <v>280</v>
      </c>
      <c r="M35" s="24">
        <v>9700</v>
      </c>
      <c r="N35" s="24">
        <v>35</v>
      </c>
      <c r="O35" s="24">
        <v>1.3</v>
      </c>
    </row>
    <row r="36" spans="11:15" x14ac:dyDescent="0.25">
      <c r="K36" s="22" t="s">
        <v>22</v>
      </c>
      <c r="L36" s="24">
        <v>280</v>
      </c>
      <c r="M36" s="24">
        <v>12200</v>
      </c>
      <c r="N36" s="24">
        <v>40</v>
      </c>
      <c r="O36" s="24">
        <v>2.4</v>
      </c>
    </row>
    <row r="37" spans="11:15" x14ac:dyDescent="0.25">
      <c r="K37" s="22" t="s">
        <v>18</v>
      </c>
      <c r="L37" s="24">
        <v>270</v>
      </c>
      <c r="M37" s="24">
        <v>4571</v>
      </c>
      <c r="N37" s="24">
        <v>30</v>
      </c>
      <c r="O37" s="24">
        <v>1.8</v>
      </c>
    </row>
    <row r="38" spans="11:15" x14ac:dyDescent="0.25">
      <c r="K38" s="22" t="s">
        <v>48</v>
      </c>
      <c r="L38" s="24">
        <v>270</v>
      </c>
      <c r="M38" s="24">
        <v>6455</v>
      </c>
      <c r="N38" s="24">
        <v>45</v>
      </c>
      <c r="O38" s="24">
        <v>1.1000000000000001</v>
      </c>
    </row>
    <row r="39" spans="11:15" x14ac:dyDescent="0.25">
      <c r="K39" s="22" t="s">
        <v>52</v>
      </c>
      <c r="L39" s="24">
        <v>260</v>
      </c>
      <c r="M39" s="24">
        <v>13200</v>
      </c>
      <c r="N39" s="24">
        <v>65</v>
      </c>
      <c r="O39" s="24">
        <v>2.1</v>
      </c>
    </row>
    <row r="40" spans="11:15" x14ac:dyDescent="0.25">
      <c r="K40" s="22" t="s">
        <v>47</v>
      </c>
      <c r="L40" s="24">
        <v>250</v>
      </c>
      <c r="M40" s="24">
        <v>2475</v>
      </c>
      <c r="N40" s="24">
        <v>50</v>
      </c>
      <c r="O40" s="24">
        <v>2.2999999999999998</v>
      </c>
    </row>
    <row r="41" spans="11:15" x14ac:dyDescent="0.25">
      <c r="K41" s="22" t="s">
        <v>33</v>
      </c>
      <c r="L41" s="24">
        <v>250</v>
      </c>
      <c r="M41" s="24">
        <v>13421</v>
      </c>
      <c r="N41" s="24">
        <v>50</v>
      </c>
      <c r="O41" s="24">
        <v>2.5</v>
      </c>
    </row>
    <row r="42" spans="11:15" x14ac:dyDescent="0.25">
      <c r="K42" s="22" t="s">
        <v>23</v>
      </c>
      <c r="L42" s="24">
        <v>250</v>
      </c>
      <c r="M42" s="24">
        <v>5862</v>
      </c>
      <c r="N42" s="24">
        <v>50</v>
      </c>
      <c r="O42" s="24">
        <v>1.5</v>
      </c>
    </row>
    <row r="43" spans="11:15" x14ac:dyDescent="0.25">
      <c r="K43" s="22" t="s">
        <v>41</v>
      </c>
      <c r="L43" s="24">
        <v>250</v>
      </c>
      <c r="M43" s="24">
        <v>11000</v>
      </c>
      <c r="N43" s="24">
        <v>50</v>
      </c>
      <c r="O43" s="24">
        <v>2.4</v>
      </c>
    </row>
    <row r="44" spans="11:15" x14ac:dyDescent="0.25">
      <c r="K44" s="22" t="s">
        <v>61</v>
      </c>
      <c r="L44" s="24">
        <v>225</v>
      </c>
      <c r="M44" s="24">
        <v>5500</v>
      </c>
      <c r="N44" s="24">
        <v>25</v>
      </c>
      <c r="O44" s="24">
        <v>1.2</v>
      </c>
    </row>
    <row r="45" spans="11:15" x14ac:dyDescent="0.25">
      <c r="K45" s="22" t="s">
        <v>36</v>
      </c>
      <c r="L45" s="24">
        <v>200</v>
      </c>
      <c r="M45" s="24">
        <v>9300</v>
      </c>
      <c r="N45" s="24">
        <v>50</v>
      </c>
      <c r="O45" s="24">
        <v>1.9</v>
      </c>
    </row>
    <row r="46" spans="11:15" x14ac:dyDescent="0.25">
      <c r="K46" s="22" t="s">
        <v>58</v>
      </c>
      <c r="L46" s="24">
        <v>200</v>
      </c>
      <c r="M46" s="24">
        <v>8500</v>
      </c>
      <c r="N46" s="24">
        <v>20</v>
      </c>
      <c r="O46" s="24">
        <v>1.4</v>
      </c>
    </row>
    <row r="47" spans="11:15" x14ac:dyDescent="0.25">
      <c r="K47" s="22" t="s">
        <v>34</v>
      </c>
      <c r="L47" s="24">
        <v>200</v>
      </c>
      <c r="M47" s="24">
        <v>4572</v>
      </c>
      <c r="N47" s="24">
        <v>20</v>
      </c>
      <c r="O47" s="24">
        <v>2.6</v>
      </c>
    </row>
    <row r="48" spans="11:15" x14ac:dyDescent="0.25">
      <c r="K48" s="22" t="s">
        <v>30</v>
      </c>
      <c r="L48" s="24">
        <v>180</v>
      </c>
      <c r="M48" s="24">
        <v>7000</v>
      </c>
      <c r="N48" s="24">
        <v>30</v>
      </c>
      <c r="O48" s="24">
        <v>2.2999999999999998</v>
      </c>
    </row>
    <row r="49" spans="1:16" x14ac:dyDescent="0.25">
      <c r="K49" s="22" t="s">
        <v>51</v>
      </c>
      <c r="L49" s="24">
        <v>175</v>
      </c>
      <c r="M49" s="24">
        <v>12100</v>
      </c>
      <c r="N49" s="24">
        <v>25</v>
      </c>
      <c r="O49" s="24">
        <v>2.5</v>
      </c>
    </row>
    <row r="50" spans="1:16" x14ac:dyDescent="0.25">
      <c r="A50" s="49" t="s">
        <v>148</v>
      </c>
      <c r="B50" s="49" t="s">
        <v>149</v>
      </c>
      <c r="C50" s="50" t="s">
        <v>150</v>
      </c>
      <c r="D50" s="49" t="s">
        <v>146</v>
      </c>
      <c r="E50" s="49" t="s">
        <v>151</v>
      </c>
      <c r="F50" s="49" t="s">
        <v>147</v>
      </c>
      <c r="K50" s="22" t="s">
        <v>28</v>
      </c>
      <c r="L50" s="24">
        <v>175</v>
      </c>
      <c r="M50" s="24">
        <v>5478</v>
      </c>
      <c r="N50" s="24">
        <v>25</v>
      </c>
      <c r="O50" s="24">
        <v>2.5</v>
      </c>
    </row>
    <row r="51" spans="1:16" x14ac:dyDescent="0.25">
      <c r="A51" s="9">
        <f>SUM(Table1[STEPS])</f>
        <v>480674</v>
      </c>
      <c r="B51" s="9">
        <f>SUM(Table1[[CALORIES BURNT ]])</f>
        <v>17778</v>
      </c>
      <c r="C51" s="9">
        <f>ROUND(AVERAGE(Table1[SLEEP(hrs)]),1)</f>
        <v>5.9</v>
      </c>
      <c r="D51" s="9">
        <f>COUNTIF(Table1[STATUS],"active")</f>
        <v>34</v>
      </c>
      <c r="E51" s="9">
        <f>ROUND(AVERAGE(Table1[BMI]),1)</f>
        <v>26.5</v>
      </c>
      <c r="F51" s="9">
        <f>SUM(Table1[DURATION])</f>
        <v>2519</v>
      </c>
      <c r="K51" s="22" t="s">
        <v>19</v>
      </c>
      <c r="L51" s="24">
        <v>160</v>
      </c>
      <c r="M51" s="24">
        <v>6000</v>
      </c>
      <c r="N51" s="24">
        <v>20</v>
      </c>
      <c r="O51" s="24">
        <v>2.2000000000000002</v>
      </c>
    </row>
    <row r="52" spans="1:16" x14ac:dyDescent="0.25">
      <c r="K52" s="22" t="s">
        <v>24</v>
      </c>
      <c r="L52" s="24">
        <v>150</v>
      </c>
      <c r="M52" s="24">
        <v>4500</v>
      </c>
      <c r="N52" s="24">
        <v>25</v>
      </c>
      <c r="O52" s="24">
        <v>2</v>
      </c>
    </row>
    <row r="53" spans="1:16" x14ac:dyDescent="0.25">
      <c r="K53" s="22" t="s">
        <v>62</v>
      </c>
      <c r="L53" s="24">
        <v>150</v>
      </c>
      <c r="M53" s="24">
        <v>7500</v>
      </c>
      <c r="N53" s="24">
        <v>30</v>
      </c>
      <c r="O53" s="24">
        <v>1.8</v>
      </c>
    </row>
    <row r="54" spans="1:16" x14ac:dyDescent="0.25">
      <c r="K54" s="22" t="s">
        <v>27</v>
      </c>
      <c r="L54" s="24">
        <v>150</v>
      </c>
      <c r="M54" s="24">
        <v>11411</v>
      </c>
      <c r="N54" s="24">
        <v>25</v>
      </c>
      <c r="O54" s="24">
        <v>1</v>
      </c>
    </row>
    <row r="55" spans="1:16" x14ac:dyDescent="0.25">
      <c r="K55" s="22" t="s">
        <v>26</v>
      </c>
      <c r="L55" s="24">
        <v>140</v>
      </c>
      <c r="M55" s="24">
        <v>10260</v>
      </c>
      <c r="N55" s="24">
        <v>20</v>
      </c>
      <c r="O55" s="24">
        <v>2.1</v>
      </c>
    </row>
    <row r="56" spans="1:16" x14ac:dyDescent="0.25">
      <c r="K56" s="22" t="s">
        <v>84</v>
      </c>
      <c r="L56" s="24">
        <v>125</v>
      </c>
      <c r="M56" s="24">
        <v>9000</v>
      </c>
      <c r="N56" s="24">
        <v>25</v>
      </c>
      <c r="O56" s="24">
        <v>1.8</v>
      </c>
    </row>
    <row r="57" spans="1:16" x14ac:dyDescent="0.25">
      <c r="K57" s="22" t="s">
        <v>55</v>
      </c>
      <c r="L57" s="24">
        <v>125</v>
      </c>
      <c r="M57" s="24">
        <v>6600</v>
      </c>
      <c r="N57" s="24">
        <v>25</v>
      </c>
      <c r="O57" s="24">
        <v>2</v>
      </c>
    </row>
    <row r="58" spans="1:16" x14ac:dyDescent="0.25">
      <c r="K58" s="22" t="s">
        <v>56</v>
      </c>
      <c r="L58" s="24">
        <v>120</v>
      </c>
      <c r="M58" s="24">
        <v>1111</v>
      </c>
      <c r="N58" s="24">
        <v>30</v>
      </c>
      <c r="O58" s="24">
        <v>1.2</v>
      </c>
    </row>
    <row r="59" spans="1:16" x14ac:dyDescent="0.25">
      <c r="K59" s="22" t="s">
        <v>32</v>
      </c>
      <c r="L59" s="24">
        <v>120</v>
      </c>
      <c r="M59" s="24">
        <v>1002</v>
      </c>
      <c r="N59" s="24">
        <v>20</v>
      </c>
      <c r="O59" s="24">
        <v>1</v>
      </c>
    </row>
    <row r="60" spans="1:16" x14ac:dyDescent="0.25">
      <c r="K60" s="22" t="s">
        <v>39</v>
      </c>
      <c r="L60" s="24">
        <v>100</v>
      </c>
      <c r="M60" s="24">
        <v>5781</v>
      </c>
      <c r="N60" s="24">
        <v>20</v>
      </c>
      <c r="O60" s="24">
        <v>2.4</v>
      </c>
    </row>
    <row r="61" spans="1:16" x14ac:dyDescent="0.25">
      <c r="K61" s="22" t="s">
        <v>29</v>
      </c>
      <c r="L61" s="24">
        <v>100</v>
      </c>
      <c r="M61" s="24">
        <v>5400</v>
      </c>
      <c r="N61" s="24">
        <v>20</v>
      </c>
      <c r="O61" s="24">
        <v>2.5</v>
      </c>
    </row>
    <row r="62" spans="1:16" x14ac:dyDescent="0.25">
      <c r="K62" s="22" t="s">
        <v>50</v>
      </c>
      <c r="L62" s="24">
        <v>90</v>
      </c>
      <c r="M62" s="24">
        <v>7000</v>
      </c>
      <c r="N62" s="24">
        <v>15</v>
      </c>
      <c r="O62" s="24">
        <v>1.7</v>
      </c>
    </row>
    <row r="63" spans="1:16" x14ac:dyDescent="0.25">
      <c r="K63" s="22" t="s">
        <v>94</v>
      </c>
      <c r="L63" s="24">
        <v>17778</v>
      </c>
      <c r="M63" s="24">
        <v>480674</v>
      </c>
      <c r="N63" s="24">
        <v>2519</v>
      </c>
      <c r="O63" s="24">
        <v>115.89999999999998</v>
      </c>
    </row>
    <row r="64" spans="1:16" x14ac:dyDescent="0.25">
      <c r="K64" s="8"/>
      <c r="L64" s="8"/>
      <c r="M64" s="8"/>
      <c r="N64" s="8"/>
      <c r="O64" s="8"/>
      <c r="P64" s="8"/>
    </row>
  </sheetData>
  <mergeCells count="12">
    <mergeCell ref="C20:F20"/>
    <mergeCell ref="A24:G24"/>
    <mergeCell ref="C12:F12"/>
    <mergeCell ref="A14:H14"/>
    <mergeCell ref="C16:F16"/>
    <mergeCell ref="A18:H18"/>
    <mergeCell ref="J2:Q2"/>
    <mergeCell ref="A1:H1"/>
    <mergeCell ref="C3:F3"/>
    <mergeCell ref="A5:H5"/>
    <mergeCell ref="A10:H10"/>
    <mergeCell ref="C7:F7"/>
  </mergeCells>
  <conditionalFormatting pivot="1" sqref="L5">
    <cfRule type="cellIs" dxfId="104" priority="4" operator="greaterThan">
      <formula>619</formula>
    </cfRule>
  </conditionalFormatting>
  <conditionalFormatting pivot="1" sqref="L5:L8">
    <cfRule type="cellIs" dxfId="103" priority="3" operator="greaterThan">
      <formula>619</formula>
    </cfRule>
  </conditionalFormatting>
  <conditionalFormatting sqref="C27:C29">
    <cfRule type="cellIs" dxfId="102" priority="1" operator="greaterThan">
      <formula>619</formula>
    </cfRule>
  </conditionalFormatting>
  <conditionalFormatting sqref="C27">
    <cfRule type="cellIs" dxfId="101" priority="2" operator="greaterThan">
      <formula>619</formula>
    </cfRule>
  </conditionalFormatting>
  <pageMargins left="0.7" right="0.7" top="0.75" bottom="0.75" header="0.3" footer="0.3"/>
  <pageSetup paperSize="9" orientation="portrait"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7" zoomScaleNormal="77" workbookViewId="0">
      <selection activeCell="I8" sqref="I8:K8"/>
    </sheetView>
  </sheetViews>
  <sheetFormatPr defaultRowHeight="15" x14ac:dyDescent="0.25"/>
  <cols>
    <col min="1" max="1" width="23.42578125" customWidth="1"/>
    <col min="2" max="2" width="11.5703125" customWidth="1"/>
    <col min="4" max="4" width="11.28515625" bestFit="1" customWidth="1"/>
    <col min="5" max="5" width="22.28515625" bestFit="1" customWidth="1"/>
    <col min="8" max="8" width="19.42578125" bestFit="1" customWidth="1"/>
    <col min="9" max="9" width="11.5703125" bestFit="1" customWidth="1"/>
  </cols>
  <sheetData>
    <row r="1" spans="1:11" ht="21" customHeight="1" x14ac:dyDescent="0.25">
      <c r="A1" s="67" t="s">
        <v>140</v>
      </c>
      <c r="B1" s="67"/>
      <c r="C1" s="67"/>
      <c r="D1" s="67"/>
      <c r="H1" s="68" t="s">
        <v>139</v>
      </c>
      <c r="I1" s="68"/>
      <c r="J1" s="68"/>
      <c r="K1" s="68"/>
    </row>
    <row r="2" spans="1:11" x14ac:dyDescent="0.25">
      <c r="A2" s="27"/>
      <c r="B2" s="69"/>
      <c r="C2" s="69"/>
      <c r="D2" s="69"/>
      <c r="H2" s="22"/>
      <c r="I2" s="65"/>
      <c r="J2" s="65"/>
      <c r="K2" s="65"/>
    </row>
    <row r="3" spans="1:11" x14ac:dyDescent="0.25">
      <c r="A3" s="22" t="s">
        <v>133</v>
      </c>
      <c r="B3" s="66" t="s">
        <v>15</v>
      </c>
      <c r="C3" s="66"/>
      <c r="D3" s="66"/>
      <c r="H3" s="22" t="s">
        <v>133</v>
      </c>
      <c r="I3" s="65" t="s">
        <v>21</v>
      </c>
      <c r="J3" s="65"/>
      <c r="K3" s="65"/>
    </row>
    <row r="4" spans="1:11" x14ac:dyDescent="0.25">
      <c r="A4" s="22" t="s">
        <v>134</v>
      </c>
      <c r="B4" s="66">
        <f>INDEX(Table1[WEIGHT(Kg)],MATCH('FITNESS GOAL PLANNER'!B3,Table1[NAME],0))</f>
        <v>65</v>
      </c>
      <c r="C4" s="66"/>
      <c r="D4" s="66"/>
      <c r="H4" s="22" t="s">
        <v>134</v>
      </c>
      <c r="I4" s="65">
        <f>INDEX(Table1[WEIGHT(Kg)],MATCH('FITNESS GOAL PLANNER'!I3,Table1[NAME],0))</f>
        <v>58</v>
      </c>
      <c r="J4" s="65"/>
      <c r="K4" s="65"/>
    </row>
    <row r="5" spans="1:11" x14ac:dyDescent="0.25">
      <c r="A5" s="22" t="s">
        <v>135</v>
      </c>
      <c r="B5" s="66">
        <f>INDEX(Table1[[CALORIES BURNT ]],MATCH('FITNESS GOAL PLANNER'!B3,Table1[NAME],0))</f>
        <v>720</v>
      </c>
      <c r="C5" s="66"/>
      <c r="D5" s="66"/>
      <c r="H5" s="34" t="s">
        <v>143</v>
      </c>
      <c r="I5" s="65">
        <v>21973.799999999996</v>
      </c>
      <c r="J5" s="65"/>
      <c r="K5" s="65"/>
    </row>
    <row r="6" spans="1:11" x14ac:dyDescent="0.25">
      <c r="A6" s="22" t="s">
        <v>136</v>
      </c>
      <c r="B6" s="66">
        <f>INDEX(Table1[WATER(L)],MATCH('FITNESS GOAL PLANNER'!B3,Table1[NAME],0))</f>
        <v>2</v>
      </c>
      <c r="C6" s="66"/>
      <c r="D6" s="66"/>
      <c r="H6" s="34" t="s">
        <v>142</v>
      </c>
      <c r="I6" s="65">
        <v>45</v>
      </c>
      <c r="J6" s="65"/>
      <c r="K6" s="65"/>
    </row>
    <row r="7" spans="1:11" x14ac:dyDescent="0.25">
      <c r="A7" s="22" t="s">
        <v>137</v>
      </c>
      <c r="B7" s="66">
        <f>INDEX(Table1[BMI],MATCH('FITNESS GOAL PLANNER'!B3,Table1[NAME],0))</f>
        <v>25</v>
      </c>
      <c r="C7" s="66"/>
      <c r="D7" s="66"/>
      <c r="H7" s="34" t="s">
        <v>141</v>
      </c>
      <c r="I7" s="65">
        <v>7700</v>
      </c>
      <c r="J7" s="65"/>
      <c r="K7" s="65"/>
    </row>
    <row r="8" spans="1:11" x14ac:dyDescent="0.25">
      <c r="A8" s="22" t="s">
        <v>138</v>
      </c>
      <c r="B8" s="66" t="str">
        <f>INDEX(Table1[STATUS],MATCH('FITNESS GOAL PLANNER'!B3,Table1[NAME],0))</f>
        <v>ACTIVE</v>
      </c>
      <c r="C8" s="66"/>
      <c r="D8" s="66"/>
      <c r="H8" s="34" t="s">
        <v>144</v>
      </c>
      <c r="I8" s="65">
        <f>ROUND(I4-(I5/I7),0)</f>
        <v>55</v>
      </c>
      <c r="J8" s="65"/>
      <c r="K8" s="65"/>
    </row>
    <row r="9" spans="1:11" x14ac:dyDescent="0.25">
      <c r="K9" s="32"/>
    </row>
    <row r="10" spans="1:11" x14ac:dyDescent="0.25">
      <c r="G10" s="32"/>
    </row>
    <row r="11" spans="1:11" x14ac:dyDescent="0.25">
      <c r="G11" s="32"/>
    </row>
    <row r="12" spans="1:11" x14ac:dyDescent="0.25">
      <c r="G12" s="32"/>
    </row>
    <row r="13" spans="1:11" x14ac:dyDescent="0.25">
      <c r="D13" s="64" t="s">
        <v>145</v>
      </c>
      <c r="E13" s="64"/>
      <c r="F13" s="64"/>
      <c r="G13" s="64"/>
      <c r="H13" s="64"/>
      <c r="I13" s="31"/>
    </row>
    <row r="14" spans="1:11" x14ac:dyDescent="0.25">
      <c r="H14" s="32"/>
      <c r="I14" s="32"/>
    </row>
    <row r="15" spans="1:11" x14ac:dyDescent="0.25">
      <c r="D15" t="s">
        <v>0</v>
      </c>
      <c r="E15" s="30" t="s">
        <v>115</v>
      </c>
      <c r="F15" s="33"/>
    </row>
    <row r="16" spans="1:11" x14ac:dyDescent="0.25">
      <c r="D16" s="48">
        <v>45833</v>
      </c>
      <c r="E16" s="47">
        <f>SUMIFS(Table1[STEPS],Table1[DATE],'FITNESS GOAL PLANNER'!D16)</f>
        <v>76960</v>
      </c>
      <c r="F16" s="31"/>
    </row>
    <row r="17" spans="4:10" x14ac:dyDescent="0.25">
      <c r="D17" s="48">
        <v>45834</v>
      </c>
      <c r="E17" s="47">
        <f>SUMIFS(Table1[STEPS],Table1[DATE],'FITNESS GOAL PLANNER'!D17)</f>
        <v>68404</v>
      </c>
      <c r="F17" s="31"/>
    </row>
    <row r="18" spans="4:10" x14ac:dyDescent="0.25">
      <c r="D18" s="48">
        <v>45835</v>
      </c>
      <c r="E18" s="47">
        <f>SUMIFS(Table1[STEPS],Table1[DATE],'FITNESS GOAL PLANNER'!D18)</f>
        <v>94300</v>
      </c>
      <c r="F18" s="31"/>
      <c r="I18" s="32"/>
      <c r="J18" s="33"/>
    </row>
    <row r="19" spans="4:10" x14ac:dyDescent="0.25">
      <c r="D19" s="48">
        <v>45836</v>
      </c>
      <c r="E19" s="47">
        <f>SUMIFS(Table1[STEPS],Table1[DATE],'FITNESS GOAL PLANNER'!D19)</f>
        <v>74500</v>
      </c>
      <c r="F19" s="31"/>
      <c r="I19" s="32"/>
      <c r="J19" s="32"/>
    </row>
    <row r="20" spans="4:10" x14ac:dyDescent="0.25">
      <c r="D20" s="48">
        <v>45837</v>
      </c>
      <c r="E20" s="47">
        <f>SUMIFS(Table1[STEPS],Table1[DATE],'FITNESS GOAL PLANNER'!D20)</f>
        <v>82596</v>
      </c>
      <c r="F20" s="31"/>
      <c r="I20" s="32"/>
      <c r="J20" s="32"/>
    </row>
    <row r="21" spans="4:10" x14ac:dyDescent="0.25">
      <c r="D21" s="48">
        <v>45838</v>
      </c>
      <c r="E21" s="47">
        <f>SUMIFS(Table1[STEPS],Table1[DATE],'FITNESS GOAL PLANNER'!D21)</f>
        <v>83914</v>
      </c>
      <c r="F21" s="31"/>
      <c r="I21" s="32"/>
      <c r="J21" s="33"/>
    </row>
    <row r="22" spans="4:10" x14ac:dyDescent="0.25">
      <c r="D22" s="48">
        <v>45839</v>
      </c>
      <c r="E22" s="9">
        <f t="shared" ref="E22:E27" si="0">FORECAST(D22,$E$16:$E$21,$D$16:$D$21)</f>
        <v>85866.933333322406</v>
      </c>
      <c r="I22" s="32"/>
      <c r="J22" s="33"/>
    </row>
    <row r="23" spans="4:10" x14ac:dyDescent="0.25">
      <c r="D23" s="48">
        <v>45840</v>
      </c>
      <c r="E23" s="9">
        <f t="shared" si="0"/>
        <v>87511.104761898518</v>
      </c>
    </row>
    <row r="24" spans="4:10" x14ac:dyDescent="0.25">
      <c r="D24" s="48">
        <v>45841</v>
      </c>
      <c r="E24" s="9">
        <f t="shared" si="0"/>
        <v>89155.276190474629</v>
      </c>
    </row>
    <row r="25" spans="4:10" x14ac:dyDescent="0.25">
      <c r="D25" s="48">
        <v>45842</v>
      </c>
      <c r="E25" s="9">
        <f t="shared" si="0"/>
        <v>90799.447619050741</v>
      </c>
    </row>
    <row r="26" spans="4:10" x14ac:dyDescent="0.25">
      <c r="D26" s="48">
        <v>45843</v>
      </c>
      <c r="E26" s="9">
        <f t="shared" si="0"/>
        <v>92443.619047611952</v>
      </c>
    </row>
    <row r="27" spans="4:10" x14ac:dyDescent="0.25">
      <c r="D27" s="48">
        <v>45844</v>
      </c>
      <c r="E27" s="9">
        <f t="shared" si="0"/>
        <v>94087.790476188064</v>
      </c>
    </row>
    <row r="28" spans="4:10" x14ac:dyDescent="0.25">
      <c r="E28" s="9"/>
    </row>
    <row r="29" spans="4:10" x14ac:dyDescent="0.25">
      <c r="E29" s="9"/>
    </row>
  </sheetData>
  <mergeCells count="17">
    <mergeCell ref="A1:D1"/>
    <mergeCell ref="H1:K1"/>
    <mergeCell ref="B3:D3"/>
    <mergeCell ref="B4:D4"/>
    <mergeCell ref="B5:D5"/>
    <mergeCell ref="I3:K3"/>
    <mergeCell ref="I2:K2"/>
    <mergeCell ref="B2:D2"/>
    <mergeCell ref="D13:H13"/>
    <mergeCell ref="I4:K4"/>
    <mergeCell ref="I5:K5"/>
    <mergeCell ref="I6:K6"/>
    <mergeCell ref="I7:K7"/>
    <mergeCell ref="I8:K8"/>
    <mergeCell ref="B6:D6"/>
    <mergeCell ref="B7:D7"/>
    <mergeCell ref="B8:D8"/>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'DAILY WORKOUT LOG'!$A$3:$A$61</xm:f>
          </x14:formula1>
          <xm:sqref>B3 I3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selection activeCell="H21" sqref="H21:I21"/>
    </sheetView>
  </sheetViews>
  <sheetFormatPr defaultRowHeight="15" x14ac:dyDescent="0.25"/>
  <cols>
    <col min="1" max="1" width="11.42578125" customWidth="1"/>
    <col min="2" max="2" width="12.140625" customWidth="1"/>
    <col min="3" max="3" width="15.140625" customWidth="1"/>
    <col min="4" max="4" width="11.42578125" customWidth="1"/>
    <col min="5" max="5" width="23.42578125" customWidth="1"/>
    <col min="6" max="6" width="21.28515625" customWidth="1"/>
    <col min="7" max="7" width="15.28515625" customWidth="1"/>
    <col min="8" max="9" width="17.42578125" bestFit="1" customWidth="1"/>
    <col min="10" max="10" width="12" bestFit="1" customWidth="1"/>
  </cols>
  <sheetData>
    <row r="1" spans="1:8" x14ac:dyDescent="0.25">
      <c r="A1" s="74" t="s">
        <v>116</v>
      </c>
      <c r="B1" s="74"/>
      <c r="D1" s="71" t="s">
        <v>155</v>
      </c>
      <c r="E1" s="71"/>
      <c r="G1" s="71" t="s">
        <v>156</v>
      </c>
      <c r="H1" s="71"/>
    </row>
    <row r="3" spans="1:8" x14ac:dyDescent="0.25">
      <c r="A3" s="29" t="s">
        <v>154</v>
      </c>
      <c r="B3" s="27" t="s">
        <v>115</v>
      </c>
      <c r="D3" s="29" t="s">
        <v>154</v>
      </c>
      <c r="E3" s="27" t="s">
        <v>152</v>
      </c>
      <c r="G3" s="21" t="s">
        <v>154</v>
      </c>
      <c r="H3" s="27" t="s">
        <v>153</v>
      </c>
    </row>
    <row r="4" spans="1:8" x14ac:dyDescent="0.25">
      <c r="A4" s="52" t="s">
        <v>106</v>
      </c>
      <c r="B4" s="24">
        <v>83914</v>
      </c>
      <c r="D4" s="52" t="s">
        <v>106</v>
      </c>
      <c r="E4" s="24">
        <v>2925</v>
      </c>
      <c r="G4" s="52" t="s">
        <v>71</v>
      </c>
      <c r="H4" s="24">
        <v>283</v>
      </c>
    </row>
    <row r="5" spans="1:8" x14ac:dyDescent="0.25">
      <c r="A5" s="52" t="s">
        <v>107</v>
      </c>
      <c r="B5" s="24">
        <v>76960</v>
      </c>
      <c r="D5" s="52" t="s">
        <v>107</v>
      </c>
      <c r="E5" s="24">
        <v>2863</v>
      </c>
      <c r="G5" s="52" t="s">
        <v>73</v>
      </c>
      <c r="H5" s="24">
        <v>342</v>
      </c>
    </row>
    <row r="6" spans="1:8" x14ac:dyDescent="0.25">
      <c r="A6" s="52" t="s">
        <v>108</v>
      </c>
      <c r="B6" s="24">
        <v>68404</v>
      </c>
      <c r="D6" s="52" t="s">
        <v>108</v>
      </c>
      <c r="E6" s="24">
        <v>2258</v>
      </c>
      <c r="G6" s="52" t="s">
        <v>77</v>
      </c>
      <c r="H6" s="24">
        <v>242</v>
      </c>
    </row>
    <row r="7" spans="1:8" x14ac:dyDescent="0.25">
      <c r="A7" s="52" t="s">
        <v>109</v>
      </c>
      <c r="B7" s="24">
        <v>94300</v>
      </c>
      <c r="D7" s="52" t="s">
        <v>109</v>
      </c>
      <c r="E7" s="24">
        <v>3545</v>
      </c>
      <c r="G7" s="52" t="s">
        <v>68</v>
      </c>
      <c r="H7" s="24">
        <v>190</v>
      </c>
    </row>
    <row r="8" spans="1:8" x14ac:dyDescent="0.25">
      <c r="A8" s="52" t="s">
        <v>110</v>
      </c>
      <c r="B8" s="24">
        <v>74500</v>
      </c>
      <c r="D8" s="52" t="s">
        <v>110</v>
      </c>
      <c r="E8" s="24">
        <v>3252</v>
      </c>
      <c r="G8" s="52" t="s">
        <v>75</v>
      </c>
      <c r="H8" s="24">
        <v>270</v>
      </c>
    </row>
    <row r="9" spans="1:8" x14ac:dyDescent="0.25">
      <c r="A9" s="52" t="s">
        <v>111</v>
      </c>
      <c r="B9" s="24">
        <v>82596</v>
      </c>
      <c r="D9" s="52" t="s">
        <v>111</v>
      </c>
      <c r="E9" s="24">
        <v>2935</v>
      </c>
      <c r="G9" s="52" t="s">
        <v>76</v>
      </c>
      <c r="H9" s="24">
        <v>193</v>
      </c>
    </row>
    <row r="10" spans="1:8" x14ac:dyDescent="0.25">
      <c r="A10" s="52" t="s">
        <v>94</v>
      </c>
      <c r="B10" s="24">
        <v>480674</v>
      </c>
      <c r="D10" s="52" t="s">
        <v>94</v>
      </c>
      <c r="E10" s="24">
        <v>17778</v>
      </c>
      <c r="G10" s="52" t="s">
        <v>72</v>
      </c>
      <c r="H10" s="24">
        <v>135</v>
      </c>
    </row>
    <row r="11" spans="1:8" x14ac:dyDescent="0.25">
      <c r="G11" s="52" t="s">
        <v>89</v>
      </c>
      <c r="H11" s="24">
        <v>45</v>
      </c>
    </row>
    <row r="12" spans="1:8" x14ac:dyDescent="0.25">
      <c r="A12" t="s">
        <v>100</v>
      </c>
      <c r="G12" s="52" t="s">
        <v>69</v>
      </c>
      <c r="H12" s="24">
        <v>250</v>
      </c>
    </row>
    <row r="13" spans="1:8" x14ac:dyDescent="0.25">
      <c r="G13" s="52" t="s">
        <v>74</v>
      </c>
      <c r="H13" s="24">
        <v>244</v>
      </c>
    </row>
    <row r="14" spans="1:8" x14ac:dyDescent="0.25">
      <c r="G14" s="52" t="s">
        <v>70</v>
      </c>
      <c r="H14" s="24">
        <v>325</v>
      </c>
    </row>
    <row r="15" spans="1:8" x14ac:dyDescent="0.25">
      <c r="A15" s="74" t="s">
        <v>117</v>
      </c>
      <c r="B15" s="74"/>
      <c r="G15" s="52" t="s">
        <v>94</v>
      </c>
      <c r="H15" s="24">
        <v>2519</v>
      </c>
    </row>
    <row r="17" spans="1:10" x14ac:dyDescent="0.25">
      <c r="A17" s="29" t="s">
        <v>7</v>
      </c>
      <c r="B17" s="27" t="s">
        <v>114</v>
      </c>
    </row>
    <row r="18" spans="1:10" x14ac:dyDescent="0.25">
      <c r="A18" s="51" t="s">
        <v>112</v>
      </c>
      <c r="B18" s="24">
        <v>5.9882352941176471</v>
      </c>
    </row>
    <row r="19" spans="1:10" x14ac:dyDescent="0.25">
      <c r="A19" s="51" t="s">
        <v>113</v>
      </c>
      <c r="B19" s="24">
        <v>5.8039999999999994</v>
      </c>
      <c r="H19" s="70" t="s">
        <v>132</v>
      </c>
      <c r="I19" s="70"/>
      <c r="J19" s="70"/>
    </row>
    <row r="20" spans="1:10" x14ac:dyDescent="0.25">
      <c r="A20" s="51" t="s">
        <v>94</v>
      </c>
      <c r="B20" s="24">
        <v>5.9101694915254246</v>
      </c>
    </row>
    <row r="21" spans="1:10" ht="15.75" customHeight="1" x14ac:dyDescent="0.25">
      <c r="H21" s="72" t="s">
        <v>118</v>
      </c>
      <c r="I21" s="73"/>
      <c r="J21" s="35" t="s">
        <v>119</v>
      </c>
    </row>
    <row r="22" spans="1:10" x14ac:dyDescent="0.25">
      <c r="H22" s="41" t="s">
        <v>126</v>
      </c>
      <c r="I22" s="38" t="s">
        <v>120</v>
      </c>
      <c r="J22" s="36">
        <f>SUM(Table1[STEPS])</f>
        <v>480674</v>
      </c>
    </row>
    <row r="23" spans="1:10" x14ac:dyDescent="0.25">
      <c r="H23" s="42" t="s">
        <v>127</v>
      </c>
      <c r="I23" s="39" t="s">
        <v>121</v>
      </c>
      <c r="J23" s="36">
        <f>AVERAGE(Table1[SLEEP(hrs)])</f>
        <v>5.9101694915254237</v>
      </c>
    </row>
    <row r="24" spans="1:10" x14ac:dyDescent="0.25">
      <c r="H24" s="44" t="s">
        <v>128</v>
      </c>
      <c r="I24" s="39" t="s">
        <v>122</v>
      </c>
      <c r="J24" s="36">
        <f>SUM(Table1[[CALORIES BURNT ]])</f>
        <v>17778</v>
      </c>
    </row>
    <row r="25" spans="1:10" x14ac:dyDescent="0.25">
      <c r="H25" s="43" t="s">
        <v>129</v>
      </c>
      <c r="I25" s="39" t="s">
        <v>123</v>
      </c>
      <c r="J25" s="36">
        <f>COUNTIF(Table1[STATUS],"ACTIVE")</f>
        <v>34</v>
      </c>
    </row>
    <row r="26" spans="1:10" x14ac:dyDescent="0.25">
      <c r="H26" s="45" t="s">
        <v>130</v>
      </c>
      <c r="I26" s="39" t="s">
        <v>124</v>
      </c>
      <c r="J26" s="36">
        <f>AVERAGE(Table1[BMI])</f>
        <v>26.457627118644069</v>
      </c>
    </row>
    <row r="27" spans="1:10" x14ac:dyDescent="0.25">
      <c r="H27" s="46" t="s">
        <v>131</v>
      </c>
      <c r="I27" s="40" t="s">
        <v>125</v>
      </c>
      <c r="J27" s="36">
        <f>SUM(Table1[DURATION])</f>
        <v>2519</v>
      </c>
    </row>
    <row r="50" spans="1:5" ht="11.25" customHeight="1" x14ac:dyDescent="0.25">
      <c r="D50" s="31"/>
      <c r="E50" s="31"/>
    </row>
    <row r="51" spans="1:5" x14ac:dyDescent="0.25">
      <c r="D51" s="32"/>
      <c r="E51" s="32"/>
    </row>
    <row r="52" spans="1:5" x14ac:dyDescent="0.25">
      <c r="D52" s="32"/>
      <c r="E52" s="32"/>
    </row>
    <row r="53" spans="1:5" x14ac:dyDescent="0.25">
      <c r="D53" s="32"/>
      <c r="E53" s="32"/>
    </row>
    <row r="54" spans="1:5" x14ac:dyDescent="0.25">
      <c r="D54" s="32"/>
      <c r="E54" s="32"/>
    </row>
    <row r="55" spans="1:5" x14ac:dyDescent="0.25">
      <c r="D55" s="32"/>
      <c r="E55" s="32"/>
    </row>
    <row r="56" spans="1:5" x14ac:dyDescent="0.25">
      <c r="D56" s="32"/>
      <c r="E56" s="32"/>
    </row>
    <row r="57" spans="1:5" x14ac:dyDescent="0.25">
      <c r="A57" s="37"/>
    </row>
  </sheetData>
  <mergeCells count="6">
    <mergeCell ref="H19:J19"/>
    <mergeCell ref="G1:H1"/>
    <mergeCell ref="H21:I21"/>
    <mergeCell ref="A1:B1"/>
    <mergeCell ref="A15:B15"/>
    <mergeCell ref="D1:E1"/>
  </mergeCells>
  <conditionalFormatting pivot="1" sqref="B4:B9">
    <cfRule type="dataBar" priority="4">
      <dataBar>
        <cfvo type="min"/>
        <cfvo type="max"/>
        <color rgb="FF008AEF"/>
      </dataBar>
      <extLst>
        <ext xmlns:x14="http://schemas.microsoft.com/office/spreadsheetml/2009/9/main" uri="{B025F937-C7B1-47D3-B67F-A62EFF666E3E}">
          <x14:id>{50842868-022C-4E52-8730-C20DD962E324}</x14:id>
        </ext>
      </extLst>
    </cfRule>
  </conditionalFormatting>
  <conditionalFormatting pivot="1" sqref="B18:B19">
    <cfRule type="iconSet" priority="3">
      <iconSet iconSet="4Arrows">
        <cfvo type="percent" val="0"/>
        <cfvo type="percent" val="25"/>
        <cfvo type="percent" val="50"/>
        <cfvo type="percent" val="75"/>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50842868-022C-4E52-8730-C20DD962E324}">
            <x14:dataBar minLength="0" maxLength="100" border="1" negativeBarBorderColorSameAsPositive="0">
              <x14:cfvo type="autoMin"/>
              <x14:cfvo type="autoMax"/>
              <x14:borderColor rgb="FF008AEF"/>
              <x14:negativeFillColor rgb="FFFF0000"/>
              <x14:negativeBorderColor rgb="FFFF0000"/>
              <x14:axisColor rgb="FF000000"/>
            </x14:dataBar>
          </x14:cfRule>
          <xm:sqref>B4:B9</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markers="1" high="1" low="1">
          <x14:colorSeries rgb="FF376092"/>
          <x14:colorNegative rgb="FFD00000"/>
          <x14:colorAxis rgb="FF000000"/>
          <x14:colorMarkers rgb="FFD00000"/>
          <x14:colorFirst rgb="FFD00000"/>
          <x14:colorLast rgb="FFD00000"/>
          <x14:colorHigh rgb="FFD00000"/>
          <x14:colorLow rgb="FFD00000"/>
          <x14:sparklines>
            <x14:sparkline>
              <xm:f>'PIVOT TABLES'!B4:B9</xm:f>
              <xm:sqref>B12</xm:sqref>
            </x14:sparkline>
          </x14:sparklines>
        </x14:sparklineGroup>
      </x14:sparklineGroups>
    </ex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3" zoomScaleNormal="73" workbookViewId="0">
      <selection activeCell="S26" sqref="S26"/>
    </sheetView>
  </sheetViews>
  <sheetFormatPr defaultRowHeight="15" x14ac:dyDescent="0.25"/>
  <cols>
    <col min="1" max="16384" width="9.140625" style="5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 WORKOUT LOG</vt:lpstr>
      <vt:lpstr>MEMBER ANALYSIS</vt:lpstr>
      <vt:lpstr>FITNESS GOAL PLANNER</vt:lpstr>
      <vt:lpstr>PIVOT TABLES</vt:lpstr>
      <vt:lpstr> FITNESS DASHBOARD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2025-06-25T12:48:02Z</dcterms:created>
  <dcterms:modified xsi:type="dcterms:W3CDTF">2025-06-30T17:59:37Z</dcterms:modified>
</cp:coreProperties>
</file>